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ml.chartshapes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ml.chartshapes+xml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6.xml" ContentType="application/vnd.openxmlformats-officedocument.drawingml.chartshapes+xml"/>
  <Override PartName="/xl/drawings/drawing7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8.xml" ContentType="application/vnd.openxmlformats-officedocument.drawingml.chartshapes+xml"/>
  <Override PartName="/xl/drawings/drawing9.xml" ContentType="application/vnd.openxmlformats-officedocument.drawing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10.xml" ContentType="application/vnd.openxmlformats-officedocument.drawingml.chartshapes+xml"/>
  <Override PartName="/xl/drawings/drawing11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12.xml" ContentType="application/vnd.openxmlformats-officedocument.drawingml.chartshapes+xml"/>
  <Override PartName="/xl/drawings/drawing13.xml" ContentType="application/vnd.openxmlformats-officedocument.drawing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4.xml" ContentType="application/vnd.openxmlformats-officedocument.drawingml.chartshapes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15.xml" ContentType="application/vnd.openxmlformats-officedocument.drawingml.chartshapes+xml"/>
  <Override PartName="/xl/drawings/drawing16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7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8.xml" ContentType="application/vnd.openxmlformats-officedocument.drawing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9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20.xml" ContentType="application/vnd.openxmlformats-officedocument.drawing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21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931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gla.sharepoint.com/sites/OANGEIndustrialPhD/Shared Documents/General/4 Modelling/Excel models/TEM/"/>
    </mc:Choice>
  </mc:AlternateContent>
  <xr:revisionPtr revIDLastSave="491" documentId="8_{E425A5BF-B27F-4F03-9EA1-B43DE1476F01}" xr6:coauthVersionLast="47" xr6:coauthVersionMax="47" xr10:uidLastSave="{5F2051F8-4A6A-4D17-AED6-2EAD1B36CAEE}"/>
  <bookViews>
    <workbookView xWindow="-120" yWindow="-120" windowWidth="29040" windowHeight="15840" tabRatio="810" activeTab="3" xr2:uid="{00000000-000D-0000-FFFF-FFFF00000000}"/>
  </bookViews>
  <sheets>
    <sheet name="BEP-ASHP_GB" sheetId="35" r:id="rId1"/>
    <sheet name="BEP-AN_ASHP" sheetId="34" r:id="rId2"/>
    <sheet name="BEP-AN_GB" sheetId="33" r:id="rId3"/>
    <sheet name="BEP-DH_AN" sheetId="8" r:id="rId4"/>
    <sheet name="BEP-DH_ASHP" sheetId="31" r:id="rId5"/>
    <sheet name="BEP-DH_GB" sheetId="32" r:id="rId6"/>
    <sheet name="BEP Summary" sheetId="36" r:id="rId7"/>
    <sheet name="AHD" sheetId="12" r:id="rId8"/>
    <sheet name="Density" sheetId="15" r:id="rId9"/>
    <sheet name="Connections" sheetId="13" r:id="rId10"/>
    <sheet name="Properties" sheetId="19" r:id="rId11"/>
    <sheet name="Class" sheetId="17" r:id="rId12"/>
    <sheet name="Sensitivity" sheetId="29" r:id="rId13"/>
  </sheets>
  <externalReferences>
    <externalReference r:id="rId14"/>
  </externalReferences>
  <definedNames>
    <definedName name="_xlcn.WorksheetConnection_ResidentialBEQ59S691" hidden="1">'BEP-DH_AN'!$R$7:$T$11</definedName>
    <definedName name="class">'[1]Heat Demand Summary'!$B$4:$B$10</definedName>
  </definedNames>
  <calcPr calcId="191029"/>
  <extLst>
    <ext xmlns:x15="http://schemas.microsoft.com/office/spreadsheetml/2010/11/main" uri="{FCE2AD5D-F65C-4FA6-A056-5C36A1767C68}">
      <x15:dataModel>
        <x15:modelTables>
          <x15:modelTable id="Range" name="Range" connection="WorksheetConnection_Residential BE!$Q$59:$S$69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L12" i="36" l="1"/>
  <c r="L17" i="36"/>
  <c r="L4" i="36"/>
  <c r="L5" i="36"/>
  <c r="K6" i="36"/>
  <c r="L6" i="36"/>
  <c r="M6" i="36"/>
  <c r="K7" i="36"/>
  <c r="L7" i="36"/>
  <c r="M7" i="36"/>
  <c r="L8" i="36"/>
  <c r="L9" i="36"/>
  <c r="L10" i="36"/>
  <c r="L11" i="36"/>
  <c r="L3" i="36"/>
  <c r="Q11" i="36"/>
  <c r="Q12" i="36"/>
  <c r="Q13" i="36"/>
  <c r="Q14" i="36"/>
  <c r="Q15" i="36"/>
  <c r="Q16" i="36"/>
  <c r="Q17" i="36"/>
  <c r="Q18" i="36"/>
  <c r="Q19" i="36"/>
  <c r="Q20" i="36"/>
  <c r="Q21" i="36"/>
  <c r="Q22" i="36"/>
  <c r="Q25" i="36"/>
  <c r="Q26" i="36"/>
  <c r="Q27" i="36"/>
  <c r="Q4" i="36"/>
  <c r="Q5" i="36"/>
  <c r="Q6" i="36"/>
  <c r="Q7" i="36"/>
  <c r="Q8" i="36"/>
  <c r="Q9" i="36"/>
  <c r="Q10" i="36"/>
  <c r="Q3" i="36"/>
  <c r="R11" i="36"/>
  <c r="R12" i="36"/>
  <c r="R13" i="36"/>
  <c r="R14" i="36"/>
  <c r="R15" i="36"/>
  <c r="R16" i="36"/>
  <c r="R17" i="36"/>
  <c r="R18" i="36"/>
  <c r="R19" i="36"/>
  <c r="R20" i="36"/>
  <c r="R21" i="36"/>
  <c r="R22" i="36"/>
  <c r="R25" i="36"/>
  <c r="R26" i="36"/>
  <c r="R27" i="36"/>
  <c r="R4" i="36"/>
  <c r="R5" i="36"/>
  <c r="R6" i="36"/>
  <c r="R7" i="36"/>
  <c r="R8" i="36"/>
  <c r="R9" i="36"/>
  <c r="R10" i="36"/>
  <c r="R3" i="36"/>
  <c r="S4" i="36"/>
  <c r="S5" i="36"/>
  <c r="S6" i="36"/>
  <c r="S7" i="36"/>
  <c r="S8" i="36"/>
  <c r="S9" i="36"/>
  <c r="S10" i="36"/>
  <c r="S11" i="36"/>
  <c r="S12" i="36"/>
  <c r="S13" i="36"/>
  <c r="S14" i="36"/>
  <c r="S15" i="36"/>
  <c r="S16" i="36"/>
  <c r="S17" i="36"/>
  <c r="S18" i="36"/>
  <c r="S19" i="36"/>
  <c r="S20" i="36"/>
  <c r="S21" i="36"/>
  <c r="S22" i="36"/>
  <c r="S25" i="36"/>
  <c r="S26" i="36"/>
  <c r="S27" i="36"/>
  <c r="S3" i="36"/>
  <c r="F38" i="36" a="1"/>
  <c r="F38" i="36" s="1"/>
  <c r="Q38" i="36" s="1"/>
  <c r="F33" i="36" a="1"/>
  <c r="F33" i="36" s="1"/>
  <c r="Q33" i="36" s="1"/>
  <c r="F28" i="36" a="1"/>
  <c r="F28" i="36" s="1"/>
  <c r="S28" i="36" s="1"/>
  <c r="E39" i="36"/>
  <c r="K39" i="36" s="1"/>
  <c r="E40" i="36"/>
  <c r="K40" i="36" s="1"/>
  <c r="E41" i="36"/>
  <c r="M41" i="36" s="1"/>
  <c r="E42" i="36"/>
  <c r="K42" i="36" s="1"/>
  <c r="E38" i="36"/>
  <c r="M38" i="36" s="1"/>
  <c r="E34" i="36"/>
  <c r="K34" i="36" s="1"/>
  <c r="E35" i="36"/>
  <c r="M35" i="36" s="1"/>
  <c r="E36" i="36"/>
  <c r="K36" i="36" s="1"/>
  <c r="E37" i="36"/>
  <c r="K37" i="36" s="1"/>
  <c r="E33" i="36"/>
  <c r="M33" i="36" s="1"/>
  <c r="E29" i="36"/>
  <c r="K29" i="36" s="1"/>
  <c r="E30" i="36"/>
  <c r="M30" i="36" s="1"/>
  <c r="E31" i="36"/>
  <c r="K31" i="36" s="1"/>
  <c r="E32" i="36"/>
  <c r="K32" i="36" s="1"/>
  <c r="E28" i="36"/>
  <c r="K28" i="36" s="1"/>
  <c r="E24" i="36"/>
  <c r="K24" i="36" s="1"/>
  <c r="E25" i="36"/>
  <c r="M25" i="36" s="1"/>
  <c r="E26" i="36"/>
  <c r="K26" i="36" s="1"/>
  <c r="E27" i="36"/>
  <c r="K27" i="36" s="1"/>
  <c r="E23" i="36"/>
  <c r="K23" i="36" s="1"/>
  <c r="E19" i="36"/>
  <c r="M19" i="36" s="1"/>
  <c r="E20" i="36"/>
  <c r="K20" i="36" s="1"/>
  <c r="E21" i="36"/>
  <c r="K21" i="36" s="1"/>
  <c r="E22" i="36"/>
  <c r="M22" i="36" s="1"/>
  <c r="E18" i="36"/>
  <c r="K18" i="36" s="1"/>
  <c r="E14" i="36"/>
  <c r="M14" i="36" s="1"/>
  <c r="E15" i="36"/>
  <c r="K15" i="36" s="1"/>
  <c r="E16" i="36"/>
  <c r="K16" i="36" s="1"/>
  <c r="E17" i="36"/>
  <c r="K17" i="36" s="1"/>
  <c r="E13" i="36"/>
  <c r="K13" i="36" s="1"/>
  <c r="G13" i="36"/>
  <c r="L13" i="36" s="1"/>
  <c r="G9" i="36"/>
  <c r="G10" i="36"/>
  <c r="G11" i="36"/>
  <c r="G12" i="36"/>
  <c r="G8" i="36"/>
  <c r="G4" i="36"/>
  <c r="G5" i="36"/>
  <c r="G6" i="36"/>
  <c r="G7" i="36"/>
  <c r="G3" i="36"/>
  <c r="D24" i="36"/>
  <c r="S24" i="36" s="1"/>
  <c r="D23" i="36"/>
  <c r="S23" i="36" s="1"/>
  <c r="E9" i="36"/>
  <c r="M9" i="36" s="1"/>
  <c r="E10" i="36"/>
  <c r="M10" i="36" s="1"/>
  <c r="E11" i="36"/>
  <c r="K11" i="36" s="1"/>
  <c r="E12" i="36"/>
  <c r="K12" i="36" s="1"/>
  <c r="E8" i="36"/>
  <c r="K8" i="36" s="1"/>
  <c r="E5" i="36"/>
  <c r="K5" i="36" s="1"/>
  <c r="E4" i="36"/>
  <c r="K4" i="36" s="1"/>
  <c r="E3" i="36"/>
  <c r="M3" i="36" s="1"/>
  <c r="G18" i="36"/>
  <c r="L18" i="36" s="1"/>
  <c r="G23" i="36"/>
  <c r="L23" i="36" s="1"/>
  <c r="G28" i="36"/>
  <c r="L28" i="36" s="1"/>
  <c r="G33" i="36"/>
  <c r="L33" i="36" s="1"/>
  <c r="G38" i="36"/>
  <c r="R38" i="36" s="1"/>
  <c r="G14" i="36"/>
  <c r="L14" i="36" s="1"/>
  <c r="G19" i="36"/>
  <c r="L19" i="36" s="1"/>
  <c r="G24" i="36"/>
  <c r="L24" i="36" s="1"/>
  <c r="G29" i="36"/>
  <c r="R29" i="36" s="1"/>
  <c r="G34" i="36"/>
  <c r="L34" i="36" s="1"/>
  <c r="G39" i="36"/>
  <c r="L39" i="36" s="1"/>
  <c r="G15" i="36"/>
  <c r="L15" i="36" s="1"/>
  <c r="G20" i="36"/>
  <c r="L20" i="36" s="1"/>
  <c r="G25" i="36"/>
  <c r="L25" i="36" s="1"/>
  <c r="G30" i="36"/>
  <c r="R30" i="36" s="1"/>
  <c r="G35" i="36"/>
  <c r="R35" i="36" s="1"/>
  <c r="G40" i="36"/>
  <c r="R40" i="36" s="1"/>
  <c r="G16" i="36"/>
  <c r="L16" i="36" s="1"/>
  <c r="G21" i="36"/>
  <c r="L21" i="36" s="1"/>
  <c r="G26" i="36"/>
  <c r="L26" i="36" s="1"/>
  <c r="G31" i="36"/>
  <c r="L31" i="36" s="1"/>
  <c r="G36" i="36"/>
  <c r="L36" i="36" s="1"/>
  <c r="G41" i="36"/>
  <c r="L41" i="36" s="1"/>
  <c r="G17" i="36"/>
  <c r="G22" i="36"/>
  <c r="L22" i="36" s="1"/>
  <c r="G27" i="36"/>
  <c r="L27" i="36" s="1"/>
  <c r="G32" i="36"/>
  <c r="L32" i="36" s="1"/>
  <c r="G37" i="36"/>
  <c r="L37" i="36" s="1"/>
  <c r="G42" i="36"/>
  <c r="L42" i="36" s="1"/>
  <c r="T40" i="35"/>
  <c r="S40" i="35"/>
  <c r="R40" i="35"/>
  <c r="T39" i="35"/>
  <c r="S39" i="35"/>
  <c r="R39" i="35"/>
  <c r="T38" i="35"/>
  <c r="S38" i="35"/>
  <c r="R38" i="35"/>
  <c r="T37" i="35"/>
  <c r="S37" i="35"/>
  <c r="R37" i="35"/>
  <c r="T36" i="35"/>
  <c r="S36" i="35"/>
  <c r="R36" i="35"/>
  <c r="AA31" i="35"/>
  <c r="Z31" i="35"/>
  <c r="Y31" i="35"/>
  <c r="X31" i="35"/>
  <c r="W31" i="35"/>
  <c r="V31" i="35"/>
  <c r="U31" i="35"/>
  <c r="T31" i="35"/>
  <c r="S31" i="35"/>
  <c r="R31" i="35"/>
  <c r="AA30" i="35"/>
  <c r="Z30" i="35"/>
  <c r="Y30" i="35"/>
  <c r="X30" i="35"/>
  <c r="W30" i="35"/>
  <c r="V30" i="35"/>
  <c r="U30" i="35"/>
  <c r="T30" i="35"/>
  <c r="S30" i="35"/>
  <c r="R30" i="35"/>
  <c r="AA29" i="35"/>
  <c r="Z29" i="35"/>
  <c r="Y29" i="35"/>
  <c r="X29" i="35"/>
  <c r="W29" i="35"/>
  <c r="V29" i="35"/>
  <c r="U29" i="35"/>
  <c r="T29" i="35"/>
  <c r="S29" i="35"/>
  <c r="R29" i="35"/>
  <c r="AA28" i="35"/>
  <c r="Z28" i="35"/>
  <c r="Y28" i="35"/>
  <c r="X28" i="35"/>
  <c r="W28" i="35"/>
  <c r="V28" i="35"/>
  <c r="U28" i="35"/>
  <c r="T28" i="35"/>
  <c r="S28" i="35"/>
  <c r="R28" i="35"/>
  <c r="AA27" i="35"/>
  <c r="Z27" i="35"/>
  <c r="Y27" i="35"/>
  <c r="X27" i="35"/>
  <c r="W27" i="35"/>
  <c r="V27" i="35"/>
  <c r="U27" i="35"/>
  <c r="T27" i="35"/>
  <c r="S27" i="35"/>
  <c r="R27" i="35"/>
  <c r="AA26" i="35"/>
  <c r="Z26" i="35"/>
  <c r="Y26" i="35"/>
  <c r="X26" i="35"/>
  <c r="W26" i="35"/>
  <c r="V26" i="35"/>
  <c r="U26" i="35"/>
  <c r="T26" i="35"/>
  <c r="S26" i="35"/>
  <c r="R26" i="35"/>
  <c r="T40" i="34"/>
  <c r="S40" i="34"/>
  <c r="R40" i="34"/>
  <c r="T39" i="34"/>
  <c r="S39" i="34"/>
  <c r="R39" i="34"/>
  <c r="T38" i="34"/>
  <c r="S38" i="34"/>
  <c r="R38" i="34"/>
  <c r="T37" i="34"/>
  <c r="S37" i="34"/>
  <c r="R37" i="34"/>
  <c r="T36" i="34"/>
  <c r="S36" i="34"/>
  <c r="R36" i="34"/>
  <c r="AA31" i="34"/>
  <c r="Z31" i="34"/>
  <c r="Y31" i="34"/>
  <c r="X31" i="34"/>
  <c r="W31" i="34"/>
  <c r="V31" i="34"/>
  <c r="U31" i="34"/>
  <c r="T31" i="34"/>
  <c r="S31" i="34"/>
  <c r="R31" i="34"/>
  <c r="AA30" i="34"/>
  <c r="Z30" i="34"/>
  <c r="Y30" i="34"/>
  <c r="X30" i="34"/>
  <c r="W30" i="34"/>
  <c r="V30" i="34"/>
  <c r="U30" i="34"/>
  <c r="T30" i="34"/>
  <c r="S30" i="34"/>
  <c r="R30" i="34"/>
  <c r="AA29" i="34"/>
  <c r="Z29" i="34"/>
  <c r="Y29" i="34"/>
  <c r="X29" i="34"/>
  <c r="W29" i="34"/>
  <c r="V29" i="34"/>
  <c r="U29" i="34"/>
  <c r="T29" i="34"/>
  <c r="S29" i="34"/>
  <c r="R29" i="34"/>
  <c r="AA28" i="34"/>
  <c r="Z28" i="34"/>
  <c r="Y28" i="34"/>
  <c r="X28" i="34"/>
  <c r="W28" i="34"/>
  <c r="V28" i="34"/>
  <c r="U28" i="34"/>
  <c r="T28" i="34"/>
  <c r="S28" i="34"/>
  <c r="R28" i="34"/>
  <c r="AA27" i="34"/>
  <c r="Z27" i="34"/>
  <c r="Y27" i="34"/>
  <c r="X27" i="34"/>
  <c r="W27" i="34"/>
  <c r="V27" i="34"/>
  <c r="U27" i="34"/>
  <c r="T27" i="34"/>
  <c r="S27" i="34"/>
  <c r="R27" i="34"/>
  <c r="AA26" i="34"/>
  <c r="Z26" i="34"/>
  <c r="Y26" i="34"/>
  <c r="X26" i="34"/>
  <c r="W26" i="34"/>
  <c r="V26" i="34"/>
  <c r="U26" i="34"/>
  <c r="T26" i="34"/>
  <c r="S26" i="34"/>
  <c r="R26" i="34"/>
  <c r="T40" i="33"/>
  <c r="S40" i="33"/>
  <c r="R40" i="33"/>
  <c r="T39" i="33"/>
  <c r="S39" i="33"/>
  <c r="R39" i="33"/>
  <c r="T38" i="33"/>
  <c r="S38" i="33"/>
  <c r="R38" i="33"/>
  <c r="T37" i="33"/>
  <c r="S37" i="33"/>
  <c r="R37" i="33"/>
  <c r="T36" i="33"/>
  <c r="S36" i="33"/>
  <c r="R36" i="33"/>
  <c r="AA31" i="33"/>
  <c r="Z31" i="33"/>
  <c r="Y31" i="33"/>
  <c r="X31" i="33"/>
  <c r="W31" i="33"/>
  <c r="V31" i="33"/>
  <c r="U31" i="33"/>
  <c r="T31" i="33"/>
  <c r="S31" i="33"/>
  <c r="R31" i="33"/>
  <c r="AA30" i="33"/>
  <c r="Z30" i="33"/>
  <c r="Y30" i="33"/>
  <c r="X30" i="33"/>
  <c r="W30" i="33"/>
  <c r="V30" i="33"/>
  <c r="U30" i="33"/>
  <c r="T30" i="33"/>
  <c r="S30" i="33"/>
  <c r="R30" i="33"/>
  <c r="AA29" i="33"/>
  <c r="Z29" i="33"/>
  <c r="Y29" i="33"/>
  <c r="X29" i="33"/>
  <c r="W29" i="33"/>
  <c r="V29" i="33"/>
  <c r="U29" i="33"/>
  <c r="T29" i="33"/>
  <c r="S29" i="33"/>
  <c r="R29" i="33"/>
  <c r="AA28" i="33"/>
  <c r="Z28" i="33"/>
  <c r="Y28" i="33"/>
  <c r="X28" i="33"/>
  <c r="W28" i="33"/>
  <c r="V28" i="33"/>
  <c r="U28" i="33"/>
  <c r="T28" i="33"/>
  <c r="S28" i="33"/>
  <c r="R28" i="33"/>
  <c r="AA27" i="33"/>
  <c r="Z27" i="33"/>
  <c r="Y27" i="33"/>
  <c r="X27" i="33"/>
  <c r="W27" i="33"/>
  <c r="V27" i="33"/>
  <c r="U27" i="33"/>
  <c r="T27" i="33"/>
  <c r="S27" i="33"/>
  <c r="R27" i="33"/>
  <c r="AA26" i="33"/>
  <c r="Z26" i="33"/>
  <c r="Y26" i="33"/>
  <c r="X26" i="33"/>
  <c r="W26" i="33"/>
  <c r="V26" i="33"/>
  <c r="U26" i="33"/>
  <c r="T26" i="33"/>
  <c r="S26" i="33"/>
  <c r="R26" i="33"/>
  <c r="T40" i="32"/>
  <c r="S40" i="32"/>
  <c r="R40" i="32"/>
  <c r="T39" i="32"/>
  <c r="S39" i="32"/>
  <c r="R39" i="32"/>
  <c r="T38" i="32"/>
  <c r="S38" i="32"/>
  <c r="R38" i="32"/>
  <c r="T37" i="32"/>
  <c r="S37" i="32"/>
  <c r="R37" i="32"/>
  <c r="T36" i="32"/>
  <c r="S36" i="32"/>
  <c r="R36" i="32"/>
  <c r="AA31" i="32"/>
  <c r="Z31" i="32"/>
  <c r="Y31" i="32"/>
  <c r="X31" i="32"/>
  <c r="W31" i="32"/>
  <c r="V31" i="32"/>
  <c r="U31" i="32"/>
  <c r="T31" i="32"/>
  <c r="S31" i="32"/>
  <c r="R31" i="32"/>
  <c r="AA30" i="32"/>
  <c r="Z30" i="32"/>
  <c r="Y30" i="32"/>
  <c r="X30" i="32"/>
  <c r="W30" i="32"/>
  <c r="V30" i="32"/>
  <c r="U30" i="32"/>
  <c r="T30" i="32"/>
  <c r="S30" i="32"/>
  <c r="R30" i="32"/>
  <c r="AA29" i="32"/>
  <c r="Z29" i="32"/>
  <c r="Y29" i="32"/>
  <c r="X29" i="32"/>
  <c r="W29" i="32"/>
  <c r="V29" i="32"/>
  <c r="U29" i="32"/>
  <c r="T29" i="32"/>
  <c r="S29" i="32"/>
  <c r="R29" i="32"/>
  <c r="AA28" i="32"/>
  <c r="Z28" i="32"/>
  <c r="Y28" i="32"/>
  <c r="X28" i="32"/>
  <c r="W28" i="32"/>
  <c r="V28" i="32"/>
  <c r="U28" i="32"/>
  <c r="T28" i="32"/>
  <c r="S28" i="32"/>
  <c r="R28" i="32"/>
  <c r="AA27" i="32"/>
  <c r="Z27" i="32"/>
  <c r="Y27" i="32"/>
  <c r="X27" i="32"/>
  <c r="W27" i="32"/>
  <c r="V27" i="32"/>
  <c r="U27" i="32"/>
  <c r="T27" i="32"/>
  <c r="S27" i="32"/>
  <c r="R27" i="32"/>
  <c r="AA26" i="32"/>
  <c r="Z26" i="32"/>
  <c r="Y26" i="32"/>
  <c r="X26" i="32"/>
  <c r="W26" i="32"/>
  <c r="V26" i="32"/>
  <c r="U26" i="32"/>
  <c r="T26" i="32"/>
  <c r="S26" i="32"/>
  <c r="R26" i="32"/>
  <c r="T40" i="31"/>
  <c r="S40" i="31"/>
  <c r="R40" i="31"/>
  <c r="T39" i="31"/>
  <c r="S39" i="31"/>
  <c r="R39" i="31"/>
  <c r="T38" i="31"/>
  <c r="S38" i="31"/>
  <c r="R38" i="31"/>
  <c r="T37" i="31"/>
  <c r="S37" i="31"/>
  <c r="R37" i="31"/>
  <c r="T36" i="31"/>
  <c r="S36" i="31"/>
  <c r="R36" i="31"/>
  <c r="AA31" i="31"/>
  <c r="Z31" i="31"/>
  <c r="Y31" i="31"/>
  <c r="X31" i="31"/>
  <c r="W31" i="31"/>
  <c r="V31" i="31"/>
  <c r="U31" i="31"/>
  <c r="T31" i="31"/>
  <c r="S31" i="31"/>
  <c r="R31" i="31"/>
  <c r="AA30" i="31"/>
  <c r="Z30" i="31"/>
  <c r="Y30" i="31"/>
  <c r="X30" i="31"/>
  <c r="W30" i="31"/>
  <c r="V30" i="31"/>
  <c r="U30" i="31"/>
  <c r="T30" i="31"/>
  <c r="S30" i="31"/>
  <c r="R30" i="31"/>
  <c r="AA29" i="31"/>
  <c r="Z29" i="31"/>
  <c r="Y29" i="31"/>
  <c r="X29" i="31"/>
  <c r="W29" i="31"/>
  <c r="V29" i="31"/>
  <c r="U29" i="31"/>
  <c r="T29" i="31"/>
  <c r="S29" i="31"/>
  <c r="R29" i="31"/>
  <c r="AA28" i="31"/>
  <c r="Z28" i="31"/>
  <c r="Y28" i="31"/>
  <c r="X28" i="31"/>
  <c r="W28" i="31"/>
  <c r="V28" i="31"/>
  <c r="U28" i="31"/>
  <c r="T28" i="31"/>
  <c r="S28" i="31"/>
  <c r="R28" i="31"/>
  <c r="AA27" i="31"/>
  <c r="Z27" i="31"/>
  <c r="Y27" i="31"/>
  <c r="X27" i="31"/>
  <c r="W27" i="31"/>
  <c r="V27" i="31"/>
  <c r="U27" i="31"/>
  <c r="T27" i="31"/>
  <c r="S27" i="31"/>
  <c r="R27" i="31"/>
  <c r="AA26" i="31"/>
  <c r="Z26" i="31"/>
  <c r="Y26" i="31"/>
  <c r="X26" i="31"/>
  <c r="W26" i="31"/>
  <c r="V26" i="31"/>
  <c r="U26" i="31"/>
  <c r="T26" i="31"/>
  <c r="S26" i="31"/>
  <c r="R26" i="31"/>
  <c r="K35" i="36" l="1"/>
  <c r="K33" i="36"/>
  <c r="Q37" i="36"/>
  <c r="Q34" i="36"/>
  <c r="S42" i="36"/>
  <c r="L30" i="36"/>
  <c r="S41" i="36"/>
  <c r="M24" i="36"/>
  <c r="S35" i="36"/>
  <c r="R41" i="36"/>
  <c r="M4" i="36"/>
  <c r="S34" i="36"/>
  <c r="R32" i="36"/>
  <c r="Q42" i="36"/>
  <c r="M13" i="36"/>
  <c r="Q41" i="36"/>
  <c r="M40" i="36"/>
  <c r="R42" i="36"/>
  <c r="S33" i="36"/>
  <c r="K22" i="36"/>
  <c r="R37" i="36"/>
  <c r="Q32" i="36"/>
  <c r="M32" i="36"/>
  <c r="M21" i="36"/>
  <c r="R33" i="36"/>
  <c r="K3" i="36"/>
  <c r="K41" i="36"/>
  <c r="L38" i="36"/>
  <c r="M27" i="36"/>
  <c r="S38" i="36"/>
  <c r="Q40" i="36"/>
  <c r="Q24" i="36"/>
  <c r="M37" i="36"/>
  <c r="K25" i="36"/>
  <c r="K14" i="36"/>
  <c r="R34" i="36"/>
  <c r="K38" i="36"/>
  <c r="L35" i="36"/>
  <c r="K30" i="36"/>
  <c r="M16" i="36"/>
  <c r="R24" i="36"/>
  <c r="L40" i="36"/>
  <c r="K19" i="36"/>
  <c r="S40" i="36"/>
  <c r="S32" i="36"/>
  <c r="R39" i="36"/>
  <c r="R31" i="36"/>
  <c r="R23" i="36"/>
  <c r="Q39" i="36"/>
  <c r="Q31" i="36"/>
  <c r="Q23" i="36"/>
  <c r="M11" i="36"/>
  <c r="K9" i="36"/>
  <c r="M42" i="36"/>
  <c r="M34" i="36"/>
  <c r="L29" i="36"/>
  <c r="M26" i="36"/>
  <c r="M18" i="36"/>
  <c r="K10" i="36"/>
  <c r="M29" i="36"/>
  <c r="S39" i="36"/>
  <c r="S31" i="36"/>
  <c r="Q30" i="36"/>
  <c r="M8" i="36"/>
  <c r="M39" i="36"/>
  <c r="M31" i="36"/>
  <c r="M23" i="36"/>
  <c r="M15" i="36"/>
  <c r="S30" i="36"/>
  <c r="Q29" i="36"/>
  <c r="M5" i="36"/>
  <c r="M36" i="36"/>
  <c r="M28" i="36"/>
  <c r="M20" i="36"/>
  <c r="M12" i="36"/>
  <c r="S37" i="36"/>
  <c r="S29" i="36"/>
  <c r="R36" i="36"/>
  <c r="R28" i="36"/>
  <c r="Q36" i="36"/>
  <c r="Q28" i="36"/>
  <c r="M17" i="36"/>
  <c r="S36" i="36"/>
  <c r="Q35" i="36"/>
  <c r="A51" i="15"/>
  <c r="A52" i="15"/>
  <c r="A53" i="15"/>
  <c r="A54" i="15"/>
  <c r="A32" i="15"/>
  <c r="A33" i="15"/>
  <c r="A34" i="15"/>
  <c r="A35" i="15"/>
  <c r="A36" i="15"/>
  <c r="A37" i="15"/>
  <c r="A38" i="15"/>
  <c r="A39" i="15"/>
  <c r="A40" i="15"/>
  <c r="A41" i="15"/>
  <c r="A42" i="15"/>
  <c r="A43" i="15"/>
  <c r="A44" i="15"/>
  <c r="A45" i="15"/>
  <c r="A46" i="15"/>
  <c r="A47" i="15"/>
  <c r="A48" i="15"/>
  <c r="A49" i="15"/>
  <c r="A50" i="15"/>
  <c r="A31" i="15"/>
  <c r="U26" i="8"/>
  <c r="V26" i="8"/>
  <c r="W26" i="8"/>
  <c r="X26" i="8"/>
  <c r="Y26" i="8"/>
  <c r="Z26" i="8"/>
  <c r="AA26" i="8"/>
  <c r="U27" i="8"/>
  <c r="V27" i="8"/>
  <c r="W27" i="8"/>
  <c r="X27" i="8"/>
  <c r="Y27" i="8"/>
  <c r="Z27" i="8"/>
  <c r="AA27" i="8"/>
  <c r="U28" i="8"/>
  <c r="V28" i="8"/>
  <c r="W28" i="8"/>
  <c r="X28" i="8"/>
  <c r="Y28" i="8"/>
  <c r="Z28" i="8"/>
  <c r="AA28" i="8"/>
  <c r="U29" i="8"/>
  <c r="V29" i="8"/>
  <c r="W29" i="8"/>
  <c r="X29" i="8"/>
  <c r="Y29" i="8"/>
  <c r="Z29" i="8"/>
  <c r="AA29" i="8"/>
  <c r="U30" i="8"/>
  <c r="V30" i="8"/>
  <c r="W30" i="8"/>
  <c r="X30" i="8"/>
  <c r="Y30" i="8"/>
  <c r="Z30" i="8"/>
  <c r="AA30" i="8"/>
  <c r="U31" i="8"/>
  <c r="V31" i="8"/>
  <c r="W31" i="8"/>
  <c r="X31" i="8"/>
  <c r="Y31" i="8"/>
  <c r="Z31" i="8"/>
  <c r="AA31" i="8"/>
  <c r="S37" i="8" l="1"/>
  <c r="T37" i="8"/>
  <c r="S38" i="8"/>
  <c r="T38" i="8"/>
  <c r="S39" i="8"/>
  <c r="T39" i="8"/>
  <c r="S40" i="8"/>
  <c r="T40" i="8"/>
  <c r="T36" i="8"/>
  <c r="S36" i="8"/>
  <c r="R37" i="8"/>
  <c r="R38" i="8"/>
  <c r="R39" i="8"/>
  <c r="R40" i="8"/>
  <c r="R36" i="8"/>
  <c r="T31" i="8"/>
  <c r="S31" i="8"/>
  <c r="T30" i="8"/>
  <c r="S30" i="8"/>
  <c r="T29" i="8"/>
  <c r="S29" i="8"/>
  <c r="T28" i="8"/>
  <c r="S28" i="8"/>
  <c r="T27" i="8"/>
  <c r="S27" i="8"/>
  <c r="R28" i="8"/>
  <c r="R29" i="8"/>
  <c r="R30" i="8"/>
  <c r="R31" i="8"/>
  <c r="R27" i="8"/>
  <c r="I27" i="19" l="1"/>
  <c r="I26" i="19"/>
  <c r="I25" i="19"/>
  <c r="I24" i="19"/>
  <c r="I23" i="19"/>
  <c r="I22" i="19"/>
  <c r="I21" i="19"/>
  <c r="I20" i="19"/>
  <c r="I19" i="19"/>
  <c r="I18" i="19"/>
  <c r="I17" i="19"/>
  <c r="I16" i="19"/>
  <c r="I15" i="19"/>
  <c r="I14" i="19"/>
  <c r="I13" i="19"/>
  <c r="I12" i="19"/>
  <c r="I11" i="19"/>
  <c r="I10" i="19"/>
  <c r="I9" i="19"/>
  <c r="I8" i="19"/>
  <c r="I7" i="19"/>
  <c r="I6" i="19"/>
  <c r="I5" i="19"/>
  <c r="I4" i="19"/>
  <c r="I4" i="13"/>
  <c r="I24" i="13"/>
  <c r="I23" i="13"/>
  <c r="I22" i="13"/>
  <c r="I21" i="13"/>
  <c r="I20" i="13"/>
  <c r="I19" i="13"/>
  <c r="I18" i="13"/>
  <c r="I17" i="13"/>
  <c r="I16" i="13"/>
  <c r="I15" i="13"/>
  <c r="I14" i="13"/>
  <c r="I13" i="13"/>
  <c r="I12" i="13"/>
  <c r="I11" i="13"/>
  <c r="I10" i="13"/>
  <c r="I9" i="13"/>
  <c r="I8" i="13"/>
  <c r="I7" i="13"/>
  <c r="I6" i="13"/>
  <c r="I5" i="13"/>
  <c r="I27" i="15"/>
  <c r="D54" i="15" s="1"/>
  <c r="I26" i="15"/>
  <c r="D53" i="15" s="1"/>
  <c r="I25" i="15"/>
  <c r="D52" i="15" s="1"/>
  <c r="I24" i="15"/>
  <c r="D51" i="15" s="1"/>
  <c r="I23" i="15"/>
  <c r="D50" i="15" s="1"/>
  <c r="I22" i="15"/>
  <c r="D49" i="15" s="1"/>
  <c r="I21" i="15"/>
  <c r="D48" i="15" s="1"/>
  <c r="I20" i="15"/>
  <c r="D47" i="15" s="1"/>
  <c r="I19" i="15"/>
  <c r="D46" i="15" s="1"/>
  <c r="I18" i="15"/>
  <c r="D45" i="15" s="1"/>
  <c r="I17" i="15"/>
  <c r="D44" i="15" s="1"/>
  <c r="I16" i="15"/>
  <c r="D43" i="15" s="1"/>
  <c r="I15" i="15"/>
  <c r="D42" i="15" s="1"/>
  <c r="I14" i="15"/>
  <c r="D41" i="15" s="1"/>
  <c r="I13" i="15"/>
  <c r="D40" i="15" s="1"/>
  <c r="I12" i="15"/>
  <c r="D39" i="15" s="1"/>
  <c r="I11" i="15"/>
  <c r="D38" i="15" s="1"/>
  <c r="I10" i="15"/>
  <c r="D37" i="15" s="1"/>
  <c r="I9" i="15"/>
  <c r="D36" i="15" s="1"/>
  <c r="I8" i="15"/>
  <c r="D35" i="15" s="1"/>
  <c r="I7" i="15"/>
  <c r="D34" i="15" s="1"/>
  <c r="I6" i="15"/>
  <c r="D33" i="15" s="1"/>
  <c r="I5" i="15"/>
  <c r="D32" i="15" s="1"/>
  <c r="I4" i="15"/>
  <c r="D31" i="15" s="1"/>
  <c r="L14" i="12" a="1"/>
  <c r="L14" i="12" s="1"/>
  <c r="I27" i="12"/>
  <c r="I26" i="12"/>
  <c r="I25" i="12"/>
  <c r="I24" i="12"/>
  <c r="I23" i="12"/>
  <c r="I22" i="12"/>
  <c r="I21" i="12"/>
  <c r="I20" i="12"/>
  <c r="I19" i="12"/>
  <c r="I18" i="12"/>
  <c r="I17" i="12"/>
  <c r="I16" i="12"/>
  <c r="I15" i="12"/>
  <c r="I14" i="12"/>
  <c r="I13" i="12"/>
  <c r="I12" i="12"/>
  <c r="I11" i="12"/>
  <c r="I10" i="12"/>
  <c r="I9" i="12"/>
  <c r="L13" i="12" s="1" a="1"/>
  <c r="L13" i="12" s="1"/>
  <c r="I8" i="12"/>
  <c r="I7" i="12"/>
  <c r="I6" i="12"/>
  <c r="I5" i="12"/>
  <c r="I4" i="12"/>
  <c r="L4" i="17" l="1"/>
  <c r="L5" i="17" s="1"/>
  <c r="L6" i="17" s="1"/>
  <c r="L7" i="17" s="1"/>
  <c r="L8" i="17" s="1"/>
  <c r="L9" i="17" s="1"/>
  <c r="L10" i="17" s="1"/>
  <c r="L11" i="17" s="1"/>
  <c r="L12" i="17" s="1"/>
  <c r="L13" i="17" s="1"/>
  <c r="AE4" i="19"/>
  <c r="AE5" i="19" s="1"/>
  <c r="AE6" i="19" s="1"/>
  <c r="AE7" i="19" s="1"/>
  <c r="AE8" i="19" s="1"/>
  <c r="AE9" i="19" s="1"/>
  <c r="AE10" i="19" s="1"/>
  <c r="AE11" i="19" s="1"/>
  <c r="AE12" i="19" s="1"/>
  <c r="AE13" i="19" s="1"/>
  <c r="T26" i="8" l="1"/>
  <c r="S26" i="8"/>
  <c r="R26" i="8"/>
  <c r="H24" i="13" l="1"/>
  <c r="H23" i="13"/>
  <c r="H22" i="13"/>
  <c r="H21" i="13"/>
  <c r="H20" i="13"/>
  <c r="G6" i="13" l="1"/>
  <c r="H6" i="13"/>
  <c r="J6" i="13"/>
  <c r="N24" i="13"/>
  <c r="N23" i="13"/>
  <c r="N22" i="13"/>
  <c r="N21" i="13"/>
  <c r="N20" i="13"/>
  <c r="N19" i="13"/>
  <c r="N18" i="13"/>
  <c r="N17" i="13"/>
  <c r="N16" i="13"/>
  <c r="N15" i="13"/>
  <c r="N14" i="13"/>
  <c r="N13" i="13"/>
  <c r="N12" i="13"/>
  <c r="N11" i="13"/>
  <c r="N10" i="13"/>
  <c r="N9" i="13"/>
  <c r="N8" i="13"/>
  <c r="N7" i="13"/>
  <c r="N6" i="13"/>
  <c r="N5" i="13"/>
  <c r="N4" i="13"/>
  <c r="F5" i="19" l="1"/>
  <c r="F6" i="19"/>
  <c r="F7" i="19"/>
  <c r="F8" i="19"/>
  <c r="F9" i="19"/>
  <c r="F10" i="19"/>
  <c r="F11" i="19"/>
  <c r="F12" i="19"/>
  <c r="F13" i="19"/>
  <c r="F14" i="19"/>
  <c r="F15" i="19"/>
  <c r="F16" i="19"/>
  <c r="F17" i="19"/>
  <c r="F18" i="19"/>
  <c r="F19" i="19"/>
  <c r="F20" i="19"/>
  <c r="F21" i="19"/>
  <c r="F22" i="19"/>
  <c r="F23" i="19"/>
  <c r="F24" i="19"/>
  <c r="F25" i="19"/>
  <c r="F26" i="19"/>
  <c r="F27" i="19"/>
  <c r="F4" i="19"/>
  <c r="J27" i="19"/>
  <c r="H27" i="19"/>
  <c r="G27" i="19"/>
  <c r="J26" i="19"/>
  <c r="H26" i="19"/>
  <c r="G26" i="19"/>
  <c r="J25" i="19"/>
  <c r="H25" i="19"/>
  <c r="G25" i="19"/>
  <c r="J24" i="19"/>
  <c r="H24" i="19"/>
  <c r="G24" i="19"/>
  <c r="J23" i="19"/>
  <c r="H23" i="19"/>
  <c r="G23" i="19"/>
  <c r="J22" i="19"/>
  <c r="H22" i="19"/>
  <c r="G22" i="19"/>
  <c r="J21" i="19"/>
  <c r="H21" i="19"/>
  <c r="G21" i="19"/>
  <c r="J20" i="19"/>
  <c r="H20" i="19"/>
  <c r="G20" i="19"/>
  <c r="J19" i="19"/>
  <c r="H19" i="19"/>
  <c r="G19" i="19"/>
  <c r="J18" i="19"/>
  <c r="H18" i="19"/>
  <c r="G18" i="19"/>
  <c r="J17" i="19"/>
  <c r="H17" i="19"/>
  <c r="G17" i="19"/>
  <c r="J16" i="19"/>
  <c r="H16" i="19"/>
  <c r="G16" i="19"/>
  <c r="J15" i="19"/>
  <c r="H15" i="19"/>
  <c r="G15" i="19"/>
  <c r="J14" i="19"/>
  <c r="H14" i="19"/>
  <c r="G14" i="19"/>
  <c r="J13" i="19"/>
  <c r="H13" i="19"/>
  <c r="G13" i="19"/>
  <c r="J12" i="19"/>
  <c r="H12" i="19"/>
  <c r="G12" i="19"/>
  <c r="J11" i="19"/>
  <c r="H11" i="19"/>
  <c r="G11" i="19"/>
  <c r="J10" i="19"/>
  <c r="H10" i="19"/>
  <c r="G10" i="19"/>
  <c r="J9" i="19"/>
  <c r="H9" i="19"/>
  <c r="G9" i="19"/>
  <c r="J8" i="19"/>
  <c r="H8" i="19"/>
  <c r="G8" i="19"/>
  <c r="J7" i="19"/>
  <c r="H7" i="19"/>
  <c r="G7" i="19"/>
  <c r="J6" i="19"/>
  <c r="H6" i="19"/>
  <c r="G6" i="19"/>
  <c r="J5" i="19"/>
  <c r="H5" i="19"/>
  <c r="G5" i="19"/>
  <c r="J4" i="19"/>
  <c r="H4" i="19"/>
  <c r="G4" i="19"/>
  <c r="L7" i="19" l="1"/>
  <c r="L6" i="19"/>
  <c r="L5" i="19"/>
  <c r="L13" i="19"/>
  <c r="L12" i="19"/>
  <c r="L11" i="19"/>
  <c r="L18" i="19"/>
  <c r="L19" i="19"/>
  <c r="L17" i="19"/>
  <c r="G5" i="15" l="1"/>
  <c r="B32" i="15" s="1"/>
  <c r="H5" i="15"/>
  <c r="C32" i="15" s="1"/>
  <c r="J5" i="15"/>
  <c r="E32" i="15" s="1"/>
  <c r="G6" i="15"/>
  <c r="B33" i="15" s="1"/>
  <c r="H6" i="15"/>
  <c r="C33" i="15" s="1"/>
  <c r="J6" i="15"/>
  <c r="E33" i="15" s="1"/>
  <c r="G7" i="15"/>
  <c r="B34" i="15" s="1"/>
  <c r="H7" i="15"/>
  <c r="C34" i="15" s="1"/>
  <c r="J7" i="15"/>
  <c r="E34" i="15" s="1"/>
  <c r="G8" i="15"/>
  <c r="B35" i="15" s="1"/>
  <c r="H8" i="15"/>
  <c r="C35" i="15" s="1"/>
  <c r="J8" i="15"/>
  <c r="E35" i="15" s="1"/>
  <c r="G9" i="15"/>
  <c r="B36" i="15" s="1"/>
  <c r="H9" i="15"/>
  <c r="C36" i="15" s="1"/>
  <c r="J9" i="15"/>
  <c r="E36" i="15" s="1"/>
  <c r="G10" i="15"/>
  <c r="B37" i="15" s="1"/>
  <c r="H10" i="15"/>
  <c r="C37" i="15" s="1"/>
  <c r="J10" i="15"/>
  <c r="E37" i="15" s="1"/>
  <c r="G11" i="15"/>
  <c r="B38" i="15" s="1"/>
  <c r="H11" i="15"/>
  <c r="C38" i="15" s="1"/>
  <c r="J11" i="15"/>
  <c r="E38" i="15" s="1"/>
  <c r="G12" i="15"/>
  <c r="B39" i="15" s="1"/>
  <c r="H12" i="15"/>
  <c r="C39" i="15" s="1"/>
  <c r="J12" i="15"/>
  <c r="E39" i="15" s="1"/>
  <c r="G13" i="15"/>
  <c r="B40" i="15" s="1"/>
  <c r="H13" i="15"/>
  <c r="C40" i="15" s="1"/>
  <c r="J13" i="15"/>
  <c r="E40" i="15" s="1"/>
  <c r="G14" i="15"/>
  <c r="B41" i="15" s="1"/>
  <c r="H14" i="15"/>
  <c r="C41" i="15" s="1"/>
  <c r="J14" i="15"/>
  <c r="E41" i="15" s="1"/>
  <c r="G15" i="15"/>
  <c r="B42" i="15" s="1"/>
  <c r="H15" i="15"/>
  <c r="C42" i="15" s="1"/>
  <c r="J15" i="15"/>
  <c r="E42" i="15" s="1"/>
  <c r="G16" i="15"/>
  <c r="B43" i="15" s="1"/>
  <c r="H16" i="15"/>
  <c r="C43" i="15" s="1"/>
  <c r="J16" i="15"/>
  <c r="E43" i="15" s="1"/>
  <c r="G17" i="15"/>
  <c r="B44" i="15" s="1"/>
  <c r="H17" i="15"/>
  <c r="C44" i="15" s="1"/>
  <c r="J17" i="15"/>
  <c r="E44" i="15" s="1"/>
  <c r="G18" i="15"/>
  <c r="B45" i="15" s="1"/>
  <c r="H18" i="15"/>
  <c r="C45" i="15" s="1"/>
  <c r="J18" i="15"/>
  <c r="E45" i="15" s="1"/>
  <c r="G19" i="15"/>
  <c r="B46" i="15" s="1"/>
  <c r="H19" i="15"/>
  <c r="C46" i="15" s="1"/>
  <c r="J19" i="15"/>
  <c r="E46" i="15" s="1"/>
  <c r="G20" i="15"/>
  <c r="B47" i="15" s="1"/>
  <c r="H20" i="15"/>
  <c r="C47" i="15" s="1"/>
  <c r="J20" i="15"/>
  <c r="E47" i="15" s="1"/>
  <c r="G21" i="15"/>
  <c r="B48" i="15" s="1"/>
  <c r="H21" i="15"/>
  <c r="C48" i="15" s="1"/>
  <c r="J21" i="15"/>
  <c r="E48" i="15" s="1"/>
  <c r="G22" i="15"/>
  <c r="B49" i="15" s="1"/>
  <c r="H22" i="15"/>
  <c r="C49" i="15" s="1"/>
  <c r="J22" i="15"/>
  <c r="E49" i="15" s="1"/>
  <c r="G23" i="15"/>
  <c r="B50" i="15" s="1"/>
  <c r="H23" i="15"/>
  <c r="C50" i="15" s="1"/>
  <c r="J23" i="15"/>
  <c r="E50" i="15" s="1"/>
  <c r="G24" i="15"/>
  <c r="B51" i="15" s="1"/>
  <c r="H24" i="15"/>
  <c r="C51" i="15" s="1"/>
  <c r="J24" i="15"/>
  <c r="E51" i="15" s="1"/>
  <c r="G25" i="15"/>
  <c r="B52" i="15" s="1"/>
  <c r="H25" i="15"/>
  <c r="C52" i="15" s="1"/>
  <c r="J25" i="15"/>
  <c r="E52" i="15" s="1"/>
  <c r="G26" i="15"/>
  <c r="B53" i="15" s="1"/>
  <c r="H26" i="15"/>
  <c r="C53" i="15" s="1"/>
  <c r="J26" i="15"/>
  <c r="E53" i="15" s="1"/>
  <c r="G27" i="15"/>
  <c r="B54" i="15" s="1"/>
  <c r="H27" i="15"/>
  <c r="C54" i="15" s="1"/>
  <c r="J27" i="15"/>
  <c r="E54" i="15" s="1"/>
  <c r="H4" i="15"/>
  <c r="C31" i="15" s="1"/>
  <c r="J4" i="15"/>
  <c r="E31" i="15" s="1"/>
  <c r="G4" i="15"/>
  <c r="B31" i="15" s="1"/>
  <c r="L10" i="15" l="1"/>
  <c r="L11" i="15"/>
  <c r="L6" i="15"/>
  <c r="L5" i="15"/>
  <c r="G5" i="13" l="1"/>
  <c r="H5" i="13"/>
  <c r="J5" i="13"/>
  <c r="G7" i="13"/>
  <c r="H7" i="13"/>
  <c r="J7" i="13"/>
  <c r="G8" i="13"/>
  <c r="H8" i="13"/>
  <c r="J8" i="13"/>
  <c r="G9" i="13"/>
  <c r="H9" i="13"/>
  <c r="J9" i="13"/>
  <c r="G10" i="13"/>
  <c r="H10" i="13"/>
  <c r="J10" i="13"/>
  <c r="G11" i="13"/>
  <c r="H11" i="13"/>
  <c r="J11" i="13"/>
  <c r="G12" i="13"/>
  <c r="H12" i="13"/>
  <c r="J12" i="13"/>
  <c r="G13" i="13"/>
  <c r="H13" i="13"/>
  <c r="J13" i="13"/>
  <c r="G14" i="13"/>
  <c r="H14" i="13"/>
  <c r="J14" i="13"/>
  <c r="G15" i="13"/>
  <c r="H15" i="13"/>
  <c r="J15" i="13"/>
  <c r="G16" i="13"/>
  <c r="H16" i="13"/>
  <c r="J16" i="13"/>
  <c r="G17" i="13"/>
  <c r="H17" i="13"/>
  <c r="J17" i="13"/>
  <c r="G18" i="13"/>
  <c r="H18" i="13"/>
  <c r="J18" i="13"/>
  <c r="G19" i="13"/>
  <c r="H19" i="13"/>
  <c r="J19" i="13"/>
  <c r="G20" i="13"/>
  <c r="J20" i="13"/>
  <c r="G21" i="13"/>
  <c r="J21" i="13"/>
  <c r="G22" i="13"/>
  <c r="J22" i="13"/>
  <c r="G23" i="13"/>
  <c r="J23" i="13"/>
  <c r="G24" i="13"/>
  <c r="J24" i="13"/>
  <c r="H4" i="13"/>
  <c r="J4" i="13"/>
  <c r="G4" i="13"/>
  <c r="L11" i="13" l="1"/>
  <c r="G5" i="12"/>
  <c r="H5" i="12"/>
  <c r="J5" i="12"/>
  <c r="G6" i="12"/>
  <c r="H6" i="12"/>
  <c r="J6" i="12"/>
  <c r="G7" i="12"/>
  <c r="H7" i="12"/>
  <c r="J7" i="12"/>
  <c r="G8" i="12"/>
  <c r="H8" i="12"/>
  <c r="J8" i="12"/>
  <c r="G9" i="12"/>
  <c r="H9" i="12"/>
  <c r="J9" i="12"/>
  <c r="G10" i="12"/>
  <c r="H10" i="12"/>
  <c r="J10" i="12"/>
  <c r="G11" i="12"/>
  <c r="H11" i="12"/>
  <c r="J11" i="12"/>
  <c r="G12" i="12"/>
  <c r="H12" i="12"/>
  <c r="J12" i="12"/>
  <c r="G13" i="12"/>
  <c r="H13" i="12"/>
  <c r="J13" i="12"/>
  <c r="G14" i="12"/>
  <c r="H14" i="12"/>
  <c r="J14" i="12"/>
  <c r="G15" i="12"/>
  <c r="H15" i="12"/>
  <c r="J15" i="12"/>
  <c r="G16" i="12"/>
  <c r="H16" i="12"/>
  <c r="J16" i="12"/>
  <c r="G17" i="12"/>
  <c r="H17" i="12"/>
  <c r="J17" i="12"/>
  <c r="G18" i="12"/>
  <c r="H18" i="12"/>
  <c r="J18" i="12"/>
  <c r="G19" i="12"/>
  <c r="H19" i="12"/>
  <c r="J19" i="12"/>
  <c r="G20" i="12"/>
  <c r="H20" i="12"/>
  <c r="J20" i="12"/>
  <c r="G21" i="12"/>
  <c r="H21" i="12"/>
  <c r="J21" i="12"/>
  <c r="G22" i="12"/>
  <c r="H22" i="12"/>
  <c r="J22" i="12"/>
  <c r="G23" i="12"/>
  <c r="H23" i="12"/>
  <c r="J23" i="12"/>
  <c r="G24" i="12"/>
  <c r="H24" i="12"/>
  <c r="J24" i="12"/>
  <c r="G25" i="12"/>
  <c r="H25" i="12"/>
  <c r="J25" i="12"/>
  <c r="G26" i="12"/>
  <c r="H26" i="12"/>
  <c r="J26" i="12"/>
  <c r="G27" i="12"/>
  <c r="H27" i="12"/>
  <c r="J27" i="12"/>
  <c r="H4" i="12"/>
  <c r="J4" i="12"/>
  <c r="G4" i="12"/>
  <c r="L5" i="12" l="1" a="1"/>
  <c r="L5" i="12" s="1"/>
  <c r="L6" i="12"/>
  <c r="L17" i="12"/>
  <c r="L18" i="12"/>
  <c r="L10" i="12"/>
  <c r="L9" i="12"/>
  <c r="L22" i="13"/>
  <c r="L5" i="13"/>
  <c r="L16" i="13" l="1" a="1"/>
  <c r="L16" i="13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tc={BD22CE70-C2F1-43B4-AB17-3ED056F8F994}</author>
  </authors>
  <commentList>
    <comment ref="S10" authorId="0" shapeId="0" xr:uid="{BD22CE70-C2F1-43B4-AB17-3ED056F8F994}">
      <text>
        <t>[Threaded comment]
Your version of Excel allows you to read this threaded comment; however, any edits to it will get removed if the file is opened in a newer version of Excel. Learn more: https://go.microsoft.com/fwlink/?linkid=870924
Comment:
    906 BEP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tc={55F9FDA3-8ADD-405C-A61F-7D82896A64BC}</author>
    <author>tc={6D3F7934-3A7D-4F08-AF17-A6954DDBF15A}</author>
  </authors>
  <commentList>
    <comment ref="E6" authorId="0" shapeId="0" xr:uid="{55F9FDA3-8ADD-405C-A61F-7D82896A64BC}">
      <text>
        <t>[Threaded comment]
Your version of Excel allows you to read this threaded comment; however, any edits to it will get removed if the file is opened in a newer version of Excel. Learn more: https://go.microsoft.com/fwlink/?linkid=870924
Comment:
    906</t>
      </text>
    </comment>
    <comment ref="F15" authorId="1" shapeId="0" xr:uid="{6D3F7934-3A7D-4F08-AF17-A6954DDBF15A}">
      <text>
        <t>[Threaded comment]
Your version of Excel allows you to read this threaded comment; however, any edits to it will get removed if the file is opened in a newer version of Excel. Learn more: https://go.microsoft.com/fwlink/?linkid=870924
Comment:
    486</t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D5D6CA3C-C964-463C-B0DF-241C39A60A91}" keepAlive="1" name="ThisWorkbookDataModel" description="Data Model" type="5" refreshedVersion="7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3E6947E6-FDA9-4749-9C36-A8B07A74562B}" name="WorksheetConnection_Residential BE!$Q$59:$S$69" type="102" refreshedVersion="7" minRefreshableVersion="5">
    <extLst>
      <ext xmlns:x15="http://schemas.microsoft.com/office/spreadsheetml/2010/11/main" uri="{DE250136-89BD-433C-8126-D09CA5730AF9}">
        <x15:connection id="Range">
          <x15:rangePr sourceName="_xlcn.WorksheetConnection_ResidentialBEQ59S691"/>
        </x15:connection>
      </ext>
    </extLst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<sst xmlns="http://schemas.openxmlformats.org/spreadsheetml/2006/main" count="380" uniqueCount="74">
  <si>
    <t>Lifetime CO2 emissions</t>
  </si>
  <si>
    <t>(mil£)</t>
  </si>
  <si>
    <t>(£/MWh)</t>
  </si>
  <si>
    <t>tonnes</t>
  </si>
  <si>
    <t>Houses</t>
  </si>
  <si>
    <t>Decentralised</t>
  </si>
  <si>
    <t>DH</t>
  </si>
  <si>
    <t>Connections</t>
  </si>
  <si>
    <t>Residential</t>
  </si>
  <si>
    <t>Restaurant/pub/bar</t>
  </si>
  <si>
    <t>Office</t>
  </si>
  <si>
    <t>Retail</t>
  </si>
  <si>
    <t>Hotel</t>
  </si>
  <si>
    <t>Education</t>
  </si>
  <si>
    <t>Public/Community</t>
  </si>
  <si>
    <t>Percentages of the AHD</t>
  </si>
  <si>
    <t>Difference</t>
  </si>
  <si>
    <t>k</t>
  </si>
  <si>
    <t>B</t>
  </si>
  <si>
    <t>C1</t>
  </si>
  <si>
    <t>C2</t>
  </si>
  <si>
    <t>300 Dwellings</t>
  </si>
  <si>
    <t>Number of Dwellings</t>
  </si>
  <si>
    <t>300 Dwellings mixed - Scenario 0</t>
  </si>
  <si>
    <t>Number of Properties</t>
  </si>
  <si>
    <t>Percentages of the Properties</t>
  </si>
  <si>
    <t>Absolute</t>
  </si>
  <si>
    <t>AHD = 200%</t>
  </si>
  <si>
    <t>AL</t>
  </si>
  <si>
    <t>x^0.5</t>
  </si>
  <si>
    <t>AHD = 300%</t>
  </si>
  <si>
    <t xml:space="preserve">Total lifetime costs 
without social (NPV) </t>
  </si>
  <si>
    <t xml:space="preserve">Total lifetime costs with social (NPV) </t>
  </si>
  <si>
    <t xml:space="preserve">Lifetime LCOE without socila </t>
  </si>
  <si>
    <t>Lifetime LCOE with social (£/MWh)</t>
  </si>
  <si>
    <t xml:space="preserve">AHD = 100% </t>
  </si>
  <si>
    <t>Connections per property</t>
  </si>
  <si>
    <t>Data for BEP per connection</t>
  </si>
  <si>
    <t>Houses per hectare</t>
  </si>
  <si>
    <t>Data for BEP per AHD (1 Connection)</t>
  </si>
  <si>
    <t>AHD Selection</t>
  </si>
  <si>
    <t>Selection</t>
  </si>
  <si>
    <t>Density Houses/ Distance between properties</t>
  </si>
  <si>
    <t>Offset for Macro</t>
  </si>
  <si>
    <t>ASHP</t>
  </si>
  <si>
    <t>GB</t>
  </si>
  <si>
    <t>AN</t>
  </si>
  <si>
    <t>Density Houses per hectare</t>
  </si>
  <si>
    <t>Number of connections</t>
  </si>
  <si>
    <t>CAPEX Sensitivity</t>
  </si>
  <si>
    <t>OPEX Sensitivity</t>
  </si>
  <si>
    <t>Discount Rate Sensitivity</t>
  </si>
  <si>
    <t>Network 2 (Small residential)</t>
  </si>
  <si>
    <t>40 year LCOE</t>
  </si>
  <si>
    <t>Network 1 (Ramboll mix development)</t>
  </si>
  <si>
    <t>DH - Network 1</t>
  </si>
  <si>
    <t>AN - Network 1</t>
  </si>
  <si>
    <t>ASHP - Network 1</t>
  </si>
  <si>
    <t>GB - Network 1</t>
  </si>
  <si>
    <t>DH - Network 2</t>
  </si>
  <si>
    <t>AN - Network 2</t>
  </si>
  <si>
    <t>ASHP - Network 2</t>
  </si>
  <si>
    <t>GB - Network 2</t>
  </si>
  <si>
    <t>Density</t>
  </si>
  <si>
    <t>AN-ASHP</t>
  </si>
  <si>
    <t>AN-GB</t>
  </si>
  <si>
    <t>AN-DH</t>
  </si>
  <si>
    <t>DH-GB</t>
  </si>
  <si>
    <t>DH-ASHP</t>
  </si>
  <si>
    <t>Fuel Price Sensitivity</t>
  </si>
  <si>
    <t>SCOP Sensitivity</t>
  </si>
  <si>
    <t>BEP ASHP</t>
  </si>
  <si>
    <t>BEP  - DATA</t>
  </si>
  <si>
    <t>BEP GB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</si>
</sst>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-* #,##0.00_-;\-* #,##0.00_-;_-* &quot;-&quot;??_-;_-@_-"/>
    <numFmt numFmtId="164" formatCode="0.0"/>
    <numFmt numFmtId="165" formatCode="0.00000"/>
    <numFmt numFmtId="171" formatCode="_-* #,##0_-;\-* #,##0_-;_-* &quot;-&quot;??_-;_-@_-"/>
  </numFmts>
  <fonts count="1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name val="Calibri"/>
      <family val="2"/>
      <scheme val="minor"/>
    </font>
    <font>
      <b/>
      <i/>
      <sz val="11"/>
      <name val="Calibri"/>
      <family val="2"/>
      <scheme val="minor"/>
    </font>
    <font>
      <b/>
      <sz val="16"/>
      <color rgb="FFC00000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3F3F76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theme="3"/>
      <name val="Calibri"/>
      <family val="2"/>
      <scheme val="minor"/>
    </font>
    <font>
      <sz val="9"/>
      <color indexed="81"/>
      <name val="Tahoma"/>
      <charset val="1"/>
    </font>
  </fonts>
  <fills count="7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CC"/>
      </patternFill>
    </fill>
    <fill>
      <patternFill patternType="solid">
        <fgColor theme="0"/>
        <bgColor indexed="64"/>
      </patternFill>
    </fill>
    <fill>
      <patternFill patternType="solid">
        <fgColor theme="3"/>
        <bgColor indexed="64"/>
      </patternFill>
    </fill>
  </fills>
  <borders count="2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theme="3"/>
      </left>
      <right style="thin">
        <color theme="3"/>
      </right>
      <top style="thin">
        <color theme="3"/>
      </top>
      <bottom style="thin">
        <color theme="3"/>
      </bottom>
      <diagonal/>
    </border>
    <border>
      <left style="medium">
        <color theme="3"/>
      </left>
      <right/>
      <top style="medium">
        <color theme="3"/>
      </top>
      <bottom style="thin">
        <color theme="0"/>
      </bottom>
      <diagonal/>
    </border>
    <border>
      <left style="thin">
        <color theme="3"/>
      </left>
      <right style="thin">
        <color theme="3"/>
      </right>
      <top style="thin">
        <color indexed="64"/>
      </top>
      <bottom/>
      <diagonal/>
    </border>
    <border>
      <left style="thin">
        <color theme="3"/>
      </left>
      <right style="thin">
        <color theme="3"/>
      </right>
      <top/>
      <bottom/>
      <diagonal/>
    </border>
    <border>
      <left style="thin">
        <color theme="3"/>
      </left>
      <right style="thin">
        <color theme="3"/>
      </right>
      <top/>
      <bottom style="thin">
        <color theme="3"/>
      </bottom>
      <diagonal/>
    </border>
  </borders>
  <cellStyleXfs count="5">
    <xf numFmtId="0" fontId="0" fillId="0" borderId="0"/>
    <xf numFmtId="0" fontId="2" fillId="0" borderId="1" applyNumberFormat="0" applyFill="0" applyAlignment="0" applyProtection="0"/>
    <xf numFmtId="9" fontId="1" fillId="0" borderId="0" applyFont="0" applyFill="0" applyBorder="0" applyAlignment="0" applyProtection="0"/>
    <xf numFmtId="0" fontId="1" fillId="4" borderId="15" applyNumberFormat="0" applyFont="0" applyAlignment="0" applyProtection="0"/>
    <xf numFmtId="43" fontId="1" fillId="0" borderId="0" applyFont="0" applyFill="0" applyBorder="0" applyAlignment="0" applyProtection="0"/>
  </cellStyleXfs>
  <cellXfs count="69">
    <xf numFmtId="0" fontId="0" fillId="0" borderId="0" xfId="0"/>
    <xf numFmtId="0" fontId="3" fillId="2" borderId="2" xfId="0" applyFont="1" applyFill="1" applyBorder="1" applyAlignment="1">
      <alignment horizontal="center" vertical="center" wrapText="1"/>
    </xf>
    <xf numFmtId="0" fontId="4" fillId="0" borderId="4" xfId="0" applyFont="1" applyBorder="1" applyAlignment="1">
      <alignment horizontal="center" vertical="center"/>
    </xf>
    <xf numFmtId="0" fontId="6" fillId="3" borderId="7" xfId="1" applyFont="1" applyFill="1" applyBorder="1" applyAlignment="1">
      <alignment horizontal="left" vertical="top"/>
    </xf>
    <xf numFmtId="0" fontId="6" fillId="3" borderId="9" xfId="1" applyFont="1" applyFill="1" applyBorder="1" applyAlignment="1">
      <alignment horizontal="left" vertical="top"/>
    </xf>
    <xf numFmtId="0" fontId="3" fillId="2" borderId="11" xfId="0" applyFont="1" applyFill="1" applyBorder="1" applyAlignment="1">
      <alignment horizontal="center" vertical="center"/>
    </xf>
    <xf numFmtId="0" fontId="3" fillId="2" borderId="2" xfId="0" applyFont="1" applyFill="1" applyBorder="1" applyAlignment="1">
      <alignment horizontal="center" vertical="center"/>
    </xf>
    <xf numFmtId="0" fontId="3" fillId="2" borderId="12" xfId="0" applyFont="1" applyFill="1" applyBorder="1" applyAlignment="1">
      <alignment horizontal="center" vertical="center"/>
    </xf>
    <xf numFmtId="0" fontId="3" fillId="2" borderId="7" xfId="0" applyFont="1" applyFill="1" applyBorder="1" applyAlignment="1">
      <alignment horizontal="center" vertical="center"/>
    </xf>
    <xf numFmtId="2" fontId="7" fillId="0" borderId="4" xfId="0" applyNumberFormat="1" applyFont="1" applyBorder="1" applyAlignment="1">
      <alignment horizontal="center" vertical="center"/>
    </xf>
    <xf numFmtId="0" fontId="0" fillId="5" borderId="0" xfId="0" applyFill="1"/>
    <xf numFmtId="0" fontId="3" fillId="2" borderId="16" xfId="0" applyFont="1" applyFill="1" applyBorder="1" applyAlignment="1">
      <alignment horizontal="center" vertical="center"/>
    </xf>
    <xf numFmtId="2" fontId="8" fillId="4" borderId="15" xfId="3" applyNumberFormat="1" applyFont="1"/>
    <xf numFmtId="0" fontId="3" fillId="2" borderId="17" xfId="0" applyFont="1" applyFill="1" applyBorder="1" applyAlignment="1">
      <alignment horizontal="center" vertical="center"/>
    </xf>
    <xf numFmtId="2" fontId="3" fillId="2" borderId="2" xfId="2" applyNumberFormat="1" applyFont="1" applyFill="1" applyBorder="1" applyAlignment="1">
      <alignment horizontal="center" vertical="center"/>
    </xf>
    <xf numFmtId="0" fontId="6" fillId="3" borderId="0" xfId="1" applyFont="1" applyFill="1" applyBorder="1" applyAlignment="1">
      <alignment horizontal="left" vertical="top"/>
    </xf>
    <xf numFmtId="0" fontId="6" fillId="5" borderId="7" xfId="1" applyFont="1" applyFill="1" applyBorder="1" applyAlignment="1">
      <alignment horizontal="left" vertical="top"/>
    </xf>
    <xf numFmtId="0" fontId="5" fillId="5" borderId="6" xfId="0" applyFont="1" applyFill="1" applyBorder="1" applyAlignment="1">
      <alignment horizontal="center" vertical="center"/>
    </xf>
    <xf numFmtId="0" fontId="5" fillId="5" borderId="5" xfId="0" applyFont="1" applyFill="1" applyBorder="1" applyAlignment="1">
      <alignment horizontal="center" vertical="center"/>
    </xf>
    <xf numFmtId="0" fontId="4" fillId="5" borderId="4" xfId="0" applyFont="1" applyFill="1" applyBorder="1" applyAlignment="1">
      <alignment horizontal="center" vertical="center"/>
    </xf>
    <xf numFmtId="0" fontId="4" fillId="5" borderId="3" xfId="0" applyFont="1" applyFill="1" applyBorder="1" applyAlignment="1">
      <alignment horizontal="center" vertical="center"/>
    </xf>
    <xf numFmtId="164" fontId="0" fillId="5" borderId="0" xfId="0" applyNumberFormat="1" applyFill="1"/>
    <xf numFmtId="164" fontId="7" fillId="0" borderId="4" xfId="0" applyNumberFormat="1" applyFont="1" applyBorder="1" applyAlignment="1">
      <alignment horizontal="center" vertical="center"/>
    </xf>
    <xf numFmtId="165" fontId="0" fillId="5" borderId="0" xfId="0" applyNumberFormat="1" applyFill="1"/>
    <xf numFmtId="2" fontId="0" fillId="5" borderId="0" xfId="0" applyNumberFormat="1" applyFill="1"/>
    <xf numFmtId="0" fontId="7" fillId="5" borderId="4" xfId="0" applyFont="1" applyFill="1" applyBorder="1" applyAlignment="1">
      <alignment horizontal="center" vertical="center"/>
    </xf>
    <xf numFmtId="0" fontId="7" fillId="5" borderId="10" xfId="0" applyFont="1" applyFill="1" applyBorder="1" applyAlignment="1">
      <alignment horizontal="center" vertical="center"/>
    </xf>
    <xf numFmtId="0" fontId="4" fillId="5" borderId="6" xfId="0" applyFont="1" applyFill="1" applyBorder="1" applyAlignment="1">
      <alignment horizontal="center" vertical="center"/>
    </xf>
    <xf numFmtId="0" fontId="9" fillId="5" borderId="0" xfId="0" applyFont="1" applyFill="1"/>
    <xf numFmtId="9" fontId="0" fillId="5" borderId="0" xfId="2" applyFont="1" applyFill="1"/>
    <xf numFmtId="2" fontId="0" fillId="5" borderId="0" xfId="2" applyNumberFormat="1" applyFont="1" applyFill="1"/>
    <xf numFmtId="2" fontId="7" fillId="5" borderId="4" xfId="0" applyNumberFormat="1" applyFont="1" applyFill="1" applyBorder="1" applyAlignment="1">
      <alignment horizontal="center" vertical="center"/>
    </xf>
    <xf numFmtId="2" fontId="4" fillId="5" borderId="4" xfId="2" applyNumberFormat="1" applyFont="1" applyFill="1" applyBorder="1" applyAlignment="1">
      <alignment horizontal="center" vertical="center"/>
    </xf>
    <xf numFmtId="165" fontId="4" fillId="5" borderId="4" xfId="2" applyNumberFormat="1" applyFont="1" applyFill="1" applyBorder="1" applyAlignment="1">
      <alignment horizontal="center" vertical="center"/>
    </xf>
    <xf numFmtId="0" fontId="7" fillId="5" borderId="14" xfId="0" applyFont="1" applyFill="1" applyBorder="1" applyAlignment="1">
      <alignment horizontal="center" vertical="center"/>
    </xf>
    <xf numFmtId="0" fontId="7" fillId="5" borderId="13" xfId="0" applyFont="1" applyFill="1" applyBorder="1" applyAlignment="1">
      <alignment horizontal="center" vertical="center"/>
    </xf>
    <xf numFmtId="0" fontId="4" fillId="5" borderId="19" xfId="0" applyFont="1" applyFill="1" applyBorder="1" applyAlignment="1">
      <alignment horizontal="center" vertical="center"/>
    </xf>
    <xf numFmtId="1" fontId="4" fillId="5" borderId="4" xfId="0" applyNumberFormat="1" applyFont="1" applyFill="1" applyBorder="1" applyAlignment="1">
      <alignment horizontal="center" vertical="center"/>
    </xf>
    <xf numFmtId="0" fontId="3" fillId="2" borderId="18" xfId="0" applyFont="1" applyFill="1" applyBorder="1" applyAlignment="1">
      <alignment horizontal="center" vertical="center" wrapText="1"/>
    </xf>
    <xf numFmtId="1" fontId="7" fillId="0" borderId="4" xfId="0" applyNumberFormat="1" applyFont="1" applyBorder="1" applyAlignment="1">
      <alignment horizontal="center" vertical="center"/>
    </xf>
    <xf numFmtId="1" fontId="7" fillId="0" borderId="6" xfId="0" applyNumberFormat="1" applyFont="1" applyBorder="1" applyAlignment="1">
      <alignment horizontal="center" vertical="center"/>
    </xf>
    <xf numFmtId="1" fontId="7" fillId="0" borderId="8" xfId="0" applyNumberFormat="1" applyFont="1" applyBorder="1" applyAlignment="1">
      <alignment horizontal="center" vertical="center"/>
    </xf>
    <xf numFmtId="9" fontId="7" fillId="0" borderId="4" xfId="0" applyNumberFormat="1" applyFont="1" applyBorder="1" applyAlignment="1">
      <alignment horizontal="center" vertical="center"/>
    </xf>
    <xf numFmtId="9" fontId="0" fillId="5" borderId="0" xfId="0" applyNumberFormat="1" applyFill="1"/>
    <xf numFmtId="0" fontId="3" fillId="2" borderId="17" xfId="0" applyFont="1" applyFill="1" applyBorder="1" applyAlignment="1">
      <alignment vertical="center" wrapText="1"/>
    </xf>
    <xf numFmtId="0" fontId="3" fillId="2" borderId="0" xfId="0" applyFont="1" applyFill="1" applyAlignment="1">
      <alignment vertical="center" wrapText="1"/>
    </xf>
    <xf numFmtId="1" fontId="0" fillId="5" borderId="0" xfId="0" applyNumberFormat="1" applyFill="1"/>
    <xf numFmtId="0" fontId="10" fillId="5" borderId="20" xfId="0" applyFont="1" applyFill="1" applyBorder="1" applyAlignment="1">
      <alignment horizontal="center"/>
    </xf>
    <xf numFmtId="43" fontId="11" fillId="5" borderId="20" xfId="4" applyFont="1" applyFill="1" applyBorder="1" applyAlignment="1">
      <alignment horizontal="center"/>
    </xf>
    <xf numFmtId="0" fontId="11" fillId="5" borderId="20" xfId="0" applyFont="1" applyFill="1" applyBorder="1" applyAlignment="1">
      <alignment horizontal="center"/>
    </xf>
    <xf numFmtId="9" fontId="11" fillId="5" borderId="20" xfId="4" applyNumberFormat="1" applyFont="1" applyFill="1" applyBorder="1" applyAlignment="1">
      <alignment horizontal="center"/>
    </xf>
    <xf numFmtId="0" fontId="3" fillId="6" borderId="21" xfId="0" applyFont="1" applyFill="1" applyBorder="1" applyAlignment="1">
      <alignment vertical="center"/>
    </xf>
    <xf numFmtId="1" fontId="4" fillId="0" borderId="13" xfId="0" applyNumberFormat="1" applyFont="1" applyBorder="1" applyAlignment="1">
      <alignment horizontal="center" vertical="center"/>
    </xf>
    <xf numFmtId="1" fontId="4" fillId="0" borderId="8" xfId="0" applyNumberFormat="1" applyFont="1" applyBorder="1" applyAlignment="1">
      <alignment horizontal="center" vertical="center"/>
    </xf>
    <xf numFmtId="1" fontId="4" fillId="0" borderId="10" xfId="0" applyNumberFormat="1" applyFont="1" applyBorder="1" applyAlignment="1">
      <alignment horizontal="center" vertical="center"/>
    </xf>
    <xf numFmtId="1" fontId="0" fillId="0" borderId="0" xfId="0" applyNumberFormat="1"/>
    <xf numFmtId="0" fontId="3" fillId="6" borderId="4" xfId="0" applyFont="1" applyFill="1" applyBorder="1" applyAlignment="1">
      <alignment horizontal="center" vertical="center"/>
    </xf>
    <xf numFmtId="2" fontId="11" fillId="5" borderId="20" xfId="0" applyNumberFormat="1" applyFont="1" applyFill="1" applyBorder="1" applyAlignment="1">
      <alignment horizontal="center"/>
    </xf>
    <xf numFmtId="1" fontId="11" fillId="5" borderId="20" xfId="0" applyNumberFormat="1" applyFont="1" applyFill="1" applyBorder="1" applyAlignment="1">
      <alignment horizontal="center"/>
    </xf>
    <xf numFmtId="9" fontId="11" fillId="5" borderId="20" xfId="0" applyNumberFormat="1" applyFont="1" applyFill="1" applyBorder="1" applyAlignment="1">
      <alignment horizontal="center"/>
    </xf>
    <xf numFmtId="171" fontId="11" fillId="5" borderId="20" xfId="4" applyNumberFormat="1" applyFont="1" applyFill="1" applyBorder="1" applyAlignment="1">
      <alignment horizontal="center"/>
    </xf>
    <xf numFmtId="0" fontId="3" fillId="6" borderId="4" xfId="0" applyFont="1" applyFill="1" applyBorder="1" applyAlignment="1">
      <alignment horizontal="center" vertical="center" wrapText="1"/>
    </xf>
    <xf numFmtId="171" fontId="10" fillId="5" borderId="20" xfId="4" applyNumberFormat="1" applyFont="1" applyFill="1" applyBorder="1" applyAlignment="1">
      <alignment horizontal="left"/>
    </xf>
    <xf numFmtId="0" fontId="3" fillId="6" borderId="14" xfId="0" applyFont="1" applyFill="1" applyBorder="1" applyAlignment="1">
      <alignment horizontal="center" vertical="center"/>
    </xf>
    <xf numFmtId="0" fontId="3" fillId="6" borderId="3" xfId="0" applyFont="1" applyFill="1" applyBorder="1" applyAlignment="1">
      <alignment horizontal="center" vertical="center"/>
    </xf>
    <xf numFmtId="0" fontId="11" fillId="5" borderId="22" xfId="4" applyNumberFormat="1" applyFont="1" applyFill="1" applyBorder="1" applyAlignment="1">
      <alignment horizontal="center" vertical="center"/>
    </xf>
    <xf numFmtId="0" fontId="11" fillId="5" borderId="23" xfId="4" applyNumberFormat="1" applyFont="1" applyFill="1" applyBorder="1" applyAlignment="1">
      <alignment horizontal="center" vertical="center"/>
    </xf>
    <xf numFmtId="0" fontId="11" fillId="5" borderId="24" xfId="4" applyNumberFormat="1" applyFont="1" applyFill="1" applyBorder="1" applyAlignment="1">
      <alignment horizontal="center" vertical="center"/>
    </xf>
    <xf numFmtId="0" fontId="0" fillId="0" borderId="0" xfId="0" applyAlignment="1">
      <alignment wrapText="1"/>
    </xf>
  </cellXfs>
  <cellStyles count="5">
    <cellStyle name="Comma" xfId="4" builtinId="3"/>
    <cellStyle name="Heading 1" xfId="1" builtinId="16"/>
    <cellStyle name="Normal" xfId="0" builtinId="0"/>
    <cellStyle name="Note" xfId="3" builtinId="10"/>
    <cellStyle name="Percent" xfId="2" builtinId="5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Medium9"/>
  <colors>
    <mruColors>
      <color rgb="FFFFE6C1"/>
      <color rgb="FFFFBD5B"/>
      <color rgb="FFD8FCE1"/>
      <color rgb="FFAEE4B3"/>
      <color rgb="FFE1E9F3"/>
      <color rgb="FFF511A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26" Type="http://schemas.openxmlformats.org/officeDocument/2006/relationships/customXml" Target="../customXml/item4.xml"/><Relationship Id="rId3" Type="http://schemas.openxmlformats.org/officeDocument/2006/relationships/worksheet" Target="worksheets/sheet3.xml"/><Relationship Id="rId21" Type="http://schemas.microsoft.com/office/2017/10/relationships/person" Target="persons/perso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5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onnections" Target="connections.xml"/><Relationship Id="rId20" Type="http://schemas.openxmlformats.org/officeDocument/2006/relationships/powerPivotData" Target="model/item.data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23" Type="http://schemas.openxmlformats.org/officeDocument/2006/relationships/customXml" Target="../customXml/item1.xml"/><Relationship Id="rId28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1.xml"/><Relationship Id="rId22" Type="http://schemas.openxmlformats.org/officeDocument/2006/relationships/calcChain" Target="calcChain.xml"/><Relationship Id="rId27" Type="http://schemas.openxmlformats.org/officeDocument/2006/relationships/customXml" Target="../customXml/item5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.xml"/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6.xml"/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8.xml"/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0.xml"/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2.xml"/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4.xml"/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5.xml"/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'BEP-ASHP_GB'!$R$6</c:f>
              <c:strCache>
                <c:ptCount val="1"/>
                <c:pt idx="0">
                  <c:v>1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'BEP-ASHP_GB'!$Q$7:$Q$11</c:f>
              <c:numCache>
                <c:formatCode>0</c:formatCode>
                <c:ptCount val="5"/>
                <c:pt idx="0">
                  <c:v>75</c:v>
                </c:pt>
                <c:pt idx="1">
                  <c:v>50</c:v>
                </c:pt>
                <c:pt idx="2">
                  <c:v>35</c:v>
                </c:pt>
                <c:pt idx="3">
                  <c:v>25</c:v>
                </c:pt>
                <c:pt idx="4">
                  <c:v>10</c:v>
                </c:pt>
              </c:numCache>
            </c:numRef>
          </c:xVal>
          <c:yVal>
            <c:numRef>
              <c:f>'BEP-ASHP_GB'!$R$7:$R$12</c:f>
              <c:numCache>
                <c:formatCode>0</c:formatCode>
                <c:ptCount val="6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BEE-4ED7-935A-1C77070CAC48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BEE-4ED7-935A-1C77070CAC48}"/>
            </c:ext>
          </c:extLst>
        </c:ser>
        <c:ser>
          <c:idx val="2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BEE-4ED7-935A-1C77070CAC48}"/>
            </c:ext>
          </c:extLst>
        </c:ser>
        <c:ser>
          <c:idx val="3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ABEE-4ED7-935A-1C77070CAC48}"/>
            </c:ext>
          </c:extLst>
        </c:ser>
        <c:ser>
          <c:idx val="4"/>
          <c:order val="4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ABEE-4ED7-935A-1C77070CAC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44204072"/>
        <c:axId val="844204728"/>
      </c:scatterChart>
      <c:valAx>
        <c:axId val="8442040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ysClr val="windowText" lastClr="000000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n-GB"/>
                  <a:t>Density (Properties per Hectare)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ysClr val="windowText" lastClr="000000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ysClr val="windowText" lastClr="000000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  <c:crossAx val="844204728"/>
        <c:crosses val="autoZero"/>
        <c:crossBetween val="midCat"/>
      </c:valAx>
      <c:valAx>
        <c:axId val="8442047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ysClr val="windowText" lastClr="000000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n-US"/>
                  <a:t>BEP (Number of Properties)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ysClr val="windowText" lastClr="000000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ysClr val="windowText" lastClr="000000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  <c:crossAx val="84420407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ysClr val="windowText" lastClr="000000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 b="1">
          <a:solidFill>
            <a:sysClr val="windowText" lastClr="000000"/>
          </a:solidFill>
          <a:latin typeface="Times New Roman" panose="02020603050405020304" pitchFamily="18" charset="0"/>
          <a:cs typeface="Times New Roman" panose="02020603050405020304" pitchFamily="18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80" b="1" i="0" u="none" strike="noStrike" kern="1200" spc="0" baseline="0">
                <a:solidFill>
                  <a:sysClr val="windowText" lastClr="000000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r>
              <a:rPr lang="en-GB"/>
              <a:t>DH-AN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80" b="1" i="0" u="none" strike="noStrike" kern="1200" spc="0" baseline="0">
              <a:solidFill>
                <a:sysClr val="windowText" lastClr="000000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561375"/>
          <c:y val="0.13041305555555557"/>
          <c:w val="0.67859458333333333"/>
          <c:h val="0.69027611111111109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'BEP-ASHP_GB'!$Q$7</c:f>
              <c:strCache>
                <c:ptCount val="1"/>
                <c:pt idx="0">
                  <c:v>75</c:v>
                </c:pt>
              </c:strCache>
            </c:strRef>
          </c:tx>
          <c:spPr>
            <a:ln w="19050" cap="rnd">
              <a:solidFill>
                <a:srgbClr val="FFC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solidFill>
                  <a:srgbClr val="FFC000"/>
                </a:solidFill>
              </a:ln>
              <a:effectLst/>
            </c:spPr>
          </c:marker>
          <c:xVal>
            <c:numRef>
              <c:f>'BEP-ASHP_GB'!$R$6:$AC$6</c:f>
              <c:numCache>
                <c:formatCode>General</c:formatCode>
                <c:ptCount val="12"/>
                <c:pt idx="0">
                  <c:v>1</c:v>
                </c:pt>
                <c:pt idx="1">
                  <c:v>3</c:v>
                </c:pt>
                <c:pt idx="2">
                  <c:v>5</c:v>
                </c:pt>
                <c:pt idx="3">
                  <c:v>8</c:v>
                </c:pt>
                <c:pt idx="4">
                  <c:v>10</c:v>
                </c:pt>
                <c:pt idx="5">
                  <c:v>13</c:v>
                </c:pt>
                <c:pt idx="6">
                  <c:v>16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</c:numCache>
            </c:numRef>
          </c:xVal>
          <c:yVal>
            <c:numRef>
              <c:f>'BEP-ASHP_GB'!$R$7:$AC$7</c:f>
              <c:numCache>
                <c:formatCode>0</c:formatCode>
                <c:ptCount val="1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AA4-4274-8387-E203FFE17D31}"/>
            </c:ext>
          </c:extLst>
        </c:ser>
        <c:ser>
          <c:idx val="1"/>
          <c:order val="1"/>
          <c:tx>
            <c:strRef>
              <c:f>'BEP-ASHP_GB'!$Q$8</c:f>
              <c:strCache>
                <c:ptCount val="1"/>
                <c:pt idx="0">
                  <c:v>50</c:v>
                </c:pt>
              </c:strCache>
            </c:strRef>
          </c:tx>
          <c:spPr>
            <a:ln w="19050" cap="rnd">
              <a:solidFill>
                <a:srgbClr val="C0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solidFill>
                  <a:srgbClr val="C00000"/>
                </a:solidFill>
              </a:ln>
              <a:effectLst/>
            </c:spPr>
          </c:marker>
          <c:xVal>
            <c:numRef>
              <c:f>'BEP-ASHP_GB'!$R$6:$AC$6</c:f>
              <c:numCache>
                <c:formatCode>General</c:formatCode>
                <c:ptCount val="12"/>
                <c:pt idx="0">
                  <c:v>1</c:v>
                </c:pt>
                <c:pt idx="1">
                  <c:v>3</c:v>
                </c:pt>
                <c:pt idx="2">
                  <c:v>5</c:v>
                </c:pt>
                <c:pt idx="3">
                  <c:v>8</c:v>
                </c:pt>
                <c:pt idx="4">
                  <c:v>10</c:v>
                </c:pt>
                <c:pt idx="5">
                  <c:v>13</c:v>
                </c:pt>
                <c:pt idx="6">
                  <c:v>16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</c:numCache>
            </c:numRef>
          </c:xVal>
          <c:yVal>
            <c:numRef>
              <c:f>'BEP-ASHP_GB'!$R$8:$AC$8</c:f>
              <c:numCache>
                <c:formatCode>0</c:formatCode>
                <c:ptCount val="1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AA4-4274-8387-E203FFE17D31}"/>
            </c:ext>
          </c:extLst>
        </c:ser>
        <c:ser>
          <c:idx val="2"/>
          <c:order val="2"/>
          <c:tx>
            <c:strRef>
              <c:f>'BEP-ASHP_GB'!$Q$9</c:f>
              <c:strCache>
                <c:ptCount val="1"/>
                <c:pt idx="0">
                  <c:v>35</c:v>
                </c:pt>
              </c:strCache>
            </c:strRef>
          </c:tx>
          <c:spPr>
            <a:ln w="19050" cap="rnd">
              <a:solidFill>
                <a:srgbClr val="92D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92D050"/>
              </a:solidFill>
              <a:ln w="9525">
                <a:solidFill>
                  <a:srgbClr val="92D050"/>
                </a:solidFill>
              </a:ln>
              <a:effectLst/>
            </c:spPr>
          </c:marker>
          <c:xVal>
            <c:numRef>
              <c:f>'BEP-ASHP_GB'!$R$6:$AC$6</c:f>
              <c:numCache>
                <c:formatCode>General</c:formatCode>
                <c:ptCount val="12"/>
                <c:pt idx="0">
                  <c:v>1</c:v>
                </c:pt>
                <c:pt idx="1">
                  <c:v>3</c:v>
                </c:pt>
                <c:pt idx="2">
                  <c:v>5</c:v>
                </c:pt>
                <c:pt idx="3">
                  <c:v>8</c:v>
                </c:pt>
                <c:pt idx="4">
                  <c:v>10</c:v>
                </c:pt>
                <c:pt idx="5">
                  <c:v>13</c:v>
                </c:pt>
                <c:pt idx="6">
                  <c:v>16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</c:numCache>
            </c:numRef>
          </c:xVal>
          <c:yVal>
            <c:numRef>
              <c:f>'BEP-ASHP_GB'!$R$9:$AC$9</c:f>
              <c:numCache>
                <c:formatCode>0</c:formatCode>
                <c:ptCount val="1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AA4-4274-8387-E203FFE17D31}"/>
            </c:ext>
          </c:extLst>
        </c:ser>
        <c:ser>
          <c:idx val="3"/>
          <c:order val="3"/>
          <c:tx>
            <c:strRef>
              <c:f>'BEP-ASHP_GB'!$Q$10</c:f>
              <c:strCache>
                <c:ptCount val="1"/>
                <c:pt idx="0">
                  <c:v>25</c:v>
                </c:pt>
              </c:strCache>
            </c:strRef>
          </c:tx>
          <c:spPr>
            <a:ln w="19050" cap="rnd">
              <a:solidFill>
                <a:srgbClr val="F511A9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511A9"/>
              </a:solidFill>
              <a:ln w="9525">
                <a:solidFill>
                  <a:srgbClr val="F511A9"/>
                </a:solidFill>
              </a:ln>
              <a:effectLst/>
            </c:spPr>
          </c:marker>
          <c:xVal>
            <c:numRef>
              <c:f>'BEP-ASHP_GB'!$R$6:$AC$6</c:f>
              <c:numCache>
                <c:formatCode>General</c:formatCode>
                <c:ptCount val="12"/>
                <c:pt idx="0">
                  <c:v>1</c:v>
                </c:pt>
                <c:pt idx="1">
                  <c:v>3</c:v>
                </c:pt>
                <c:pt idx="2">
                  <c:v>5</c:v>
                </c:pt>
                <c:pt idx="3">
                  <c:v>8</c:v>
                </c:pt>
                <c:pt idx="4">
                  <c:v>10</c:v>
                </c:pt>
                <c:pt idx="5">
                  <c:v>13</c:v>
                </c:pt>
                <c:pt idx="6">
                  <c:v>16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</c:numCache>
            </c:numRef>
          </c:xVal>
          <c:yVal>
            <c:numRef>
              <c:f>'BEP-ASHP_GB'!$R$10:$AC$10</c:f>
              <c:numCache>
                <c:formatCode>0</c:formatCode>
                <c:ptCount val="1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2AA4-4274-8387-E203FFE17D31}"/>
            </c:ext>
          </c:extLst>
        </c:ser>
        <c:ser>
          <c:idx val="4"/>
          <c:order val="4"/>
          <c:tx>
            <c:strRef>
              <c:f>'BEP-ASHP_GB'!$Q$11</c:f>
              <c:strCache>
                <c:ptCount val="1"/>
                <c:pt idx="0">
                  <c:v>10</c:v>
                </c:pt>
              </c:strCache>
            </c:strRef>
          </c:tx>
          <c:spPr>
            <a:ln w="19050" cap="rnd">
              <a:solidFill>
                <a:srgbClr val="00206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2060"/>
              </a:solidFill>
              <a:ln w="9525">
                <a:solidFill>
                  <a:srgbClr val="002060"/>
                </a:solidFill>
              </a:ln>
              <a:effectLst/>
            </c:spPr>
          </c:marker>
          <c:xVal>
            <c:numRef>
              <c:f>'BEP-ASHP_GB'!$R$6:$AC$6</c:f>
              <c:numCache>
                <c:formatCode>General</c:formatCode>
                <c:ptCount val="12"/>
                <c:pt idx="0">
                  <c:v>1</c:v>
                </c:pt>
                <c:pt idx="1">
                  <c:v>3</c:v>
                </c:pt>
                <c:pt idx="2">
                  <c:v>5</c:v>
                </c:pt>
                <c:pt idx="3">
                  <c:v>8</c:v>
                </c:pt>
                <c:pt idx="4">
                  <c:v>10</c:v>
                </c:pt>
                <c:pt idx="5">
                  <c:v>13</c:v>
                </c:pt>
                <c:pt idx="6">
                  <c:v>16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</c:numCache>
            </c:numRef>
          </c:xVal>
          <c:yVal>
            <c:numRef>
              <c:f>'BEP-ASHP_GB'!$R$11:$AC$11</c:f>
              <c:numCache>
                <c:formatCode>0</c:formatCode>
                <c:ptCount val="1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2AA4-4274-8387-E203FFE17D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9720200"/>
        <c:axId val="1039720528"/>
      </c:scatterChart>
      <c:valAx>
        <c:axId val="1039720200"/>
        <c:scaling>
          <c:orientation val="minMax"/>
          <c:max val="4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1" i="0" u="none" strike="noStrike" kern="1200" baseline="0">
                    <a:solidFill>
                      <a:sysClr val="windowText" lastClr="000000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n-GB"/>
                  <a:t>Number of Connections per Property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1" i="0" u="none" strike="noStrike" kern="1200" baseline="0">
                  <a:solidFill>
                    <a:sysClr val="windowText" lastClr="000000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ysClr val="windowText" lastClr="000000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  <c:crossAx val="1039720528"/>
        <c:crosses val="autoZero"/>
        <c:crossBetween val="midCat"/>
      </c:valAx>
      <c:valAx>
        <c:axId val="10397205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1" i="0" u="none" strike="noStrike" kern="1200" baseline="0">
                    <a:solidFill>
                      <a:sysClr val="windowText" lastClr="000000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n-GB"/>
                  <a:t>Break Even Point (Number of  properties)</a:t>
                </a:r>
              </a:p>
            </c:rich>
          </c:tx>
          <c:layout>
            <c:manualLayout>
              <c:xMode val="edge"/>
              <c:yMode val="edge"/>
              <c:x val="1.0640277777777783E-3"/>
              <c:y val="0.1538883333333333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1" i="0" u="none" strike="noStrike" kern="1200" baseline="0">
                  <a:solidFill>
                    <a:sysClr val="windowText" lastClr="000000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ysClr val="windowText" lastClr="000000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  <c:crossAx val="10397202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2184722222222217"/>
          <c:y val="0.36165888888888886"/>
          <c:w val="0.16756944444444444"/>
          <c:h val="0.3765888888888888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ysClr val="windowText" lastClr="000000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400" b="1">
          <a:solidFill>
            <a:sysClr val="windowText" lastClr="000000"/>
          </a:solidFill>
          <a:latin typeface="Times New Roman" panose="02020603050405020304" pitchFamily="18" charset="0"/>
          <a:cs typeface="Times New Roman" panose="02020603050405020304" pitchFamily="18" charset="0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'BEP-AN_ASHP'!$R$6</c:f>
              <c:strCache>
                <c:ptCount val="1"/>
                <c:pt idx="0">
                  <c:v>1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'BEP-AN_ASHP'!$Q$7:$Q$11</c:f>
              <c:numCache>
                <c:formatCode>0</c:formatCode>
                <c:ptCount val="5"/>
                <c:pt idx="0">
                  <c:v>75</c:v>
                </c:pt>
                <c:pt idx="1">
                  <c:v>50</c:v>
                </c:pt>
                <c:pt idx="2">
                  <c:v>35</c:v>
                </c:pt>
                <c:pt idx="3">
                  <c:v>25</c:v>
                </c:pt>
                <c:pt idx="4">
                  <c:v>10</c:v>
                </c:pt>
              </c:numCache>
            </c:numRef>
          </c:xVal>
          <c:yVal>
            <c:numRef>
              <c:f>'BEP-AN_ASHP'!$R$7:$R$12</c:f>
              <c:numCache>
                <c:formatCode>0</c:formatCode>
                <c:ptCount val="6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F89-4DF8-A018-F290DA25DA45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F89-4DF8-A018-F290DA25DA45}"/>
            </c:ext>
          </c:extLst>
        </c:ser>
        <c:ser>
          <c:idx val="2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F89-4DF8-A018-F290DA25DA45}"/>
            </c:ext>
          </c:extLst>
        </c:ser>
        <c:ser>
          <c:idx val="3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5F89-4DF8-A018-F290DA25DA45}"/>
            </c:ext>
          </c:extLst>
        </c:ser>
        <c:ser>
          <c:idx val="4"/>
          <c:order val="4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5F89-4DF8-A018-F290DA25DA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44204072"/>
        <c:axId val="844204728"/>
      </c:scatterChart>
      <c:valAx>
        <c:axId val="8442040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ysClr val="windowText" lastClr="000000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n-GB"/>
                  <a:t>Density (Properties per Hectare)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ysClr val="windowText" lastClr="000000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ysClr val="windowText" lastClr="000000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  <c:crossAx val="844204728"/>
        <c:crosses val="autoZero"/>
        <c:crossBetween val="midCat"/>
      </c:valAx>
      <c:valAx>
        <c:axId val="8442047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ysClr val="windowText" lastClr="000000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n-US"/>
                  <a:t>BEP (Number of Properties)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ysClr val="windowText" lastClr="000000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ysClr val="windowText" lastClr="000000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  <c:crossAx val="84420407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ysClr val="windowText" lastClr="000000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 b="1">
          <a:solidFill>
            <a:sysClr val="windowText" lastClr="000000"/>
          </a:solidFill>
          <a:latin typeface="Times New Roman" panose="02020603050405020304" pitchFamily="18" charset="0"/>
          <a:cs typeface="Times New Roman" panose="02020603050405020304" pitchFamily="18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80" b="1" i="0" u="none" strike="noStrike" kern="1200" spc="0" baseline="0">
                <a:solidFill>
                  <a:sysClr val="windowText" lastClr="000000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r>
              <a:rPr lang="en-GB"/>
              <a:t>AN-ASHP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80" b="1" i="0" u="none" strike="noStrike" kern="1200" spc="0" baseline="0">
              <a:solidFill>
                <a:sysClr val="windowText" lastClr="000000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561375"/>
          <c:y val="0.13041305555555557"/>
          <c:w val="0.67859458333333333"/>
          <c:h val="0.69027611111111109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'BEP-AN_ASHP'!$Q$7</c:f>
              <c:strCache>
                <c:ptCount val="1"/>
                <c:pt idx="0">
                  <c:v>75</c:v>
                </c:pt>
              </c:strCache>
            </c:strRef>
          </c:tx>
          <c:spPr>
            <a:ln w="19050" cap="rnd">
              <a:solidFill>
                <a:srgbClr val="FFC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solidFill>
                  <a:srgbClr val="FFC000"/>
                </a:solidFill>
              </a:ln>
              <a:effectLst/>
            </c:spPr>
          </c:marker>
          <c:xVal>
            <c:numRef>
              <c:f>'BEP-AN_ASHP'!$R$6:$AC$6</c:f>
              <c:numCache>
                <c:formatCode>General</c:formatCode>
                <c:ptCount val="12"/>
                <c:pt idx="0">
                  <c:v>1</c:v>
                </c:pt>
                <c:pt idx="1">
                  <c:v>3</c:v>
                </c:pt>
                <c:pt idx="2">
                  <c:v>5</c:v>
                </c:pt>
                <c:pt idx="3">
                  <c:v>8</c:v>
                </c:pt>
                <c:pt idx="4">
                  <c:v>10</c:v>
                </c:pt>
                <c:pt idx="5">
                  <c:v>13</c:v>
                </c:pt>
                <c:pt idx="6">
                  <c:v>16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</c:numCache>
            </c:numRef>
          </c:xVal>
          <c:yVal>
            <c:numRef>
              <c:f>'BEP-AN_ASHP'!$R$7:$AC$7</c:f>
              <c:numCache>
                <c:formatCode>0</c:formatCode>
                <c:ptCount val="12"/>
                <c:pt idx="2">
                  <c:v>4</c:v>
                </c:pt>
                <c:pt idx="3">
                  <c:v>4</c:v>
                </c:pt>
                <c:pt idx="4" formatCode="General">
                  <c:v>4</c:v>
                </c:pt>
                <c:pt idx="5" formatCode="General">
                  <c:v>4</c:v>
                </c:pt>
                <c:pt idx="6" formatCode="General">
                  <c:v>4</c:v>
                </c:pt>
                <c:pt idx="7" formatCode="General">
                  <c:v>4</c:v>
                </c:pt>
                <c:pt idx="8" formatCode="General">
                  <c:v>4</c:v>
                </c:pt>
                <c:pt idx="9" formatCode="General">
                  <c:v>4</c:v>
                </c:pt>
                <c:pt idx="10" formatCode="General">
                  <c:v>4</c:v>
                </c:pt>
                <c:pt idx="11" formatCode="General">
                  <c:v>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190-49DF-BE10-50A7FED07DE7}"/>
            </c:ext>
          </c:extLst>
        </c:ser>
        <c:ser>
          <c:idx val="1"/>
          <c:order val="1"/>
          <c:tx>
            <c:strRef>
              <c:f>'BEP-AN_ASHP'!$Q$8</c:f>
              <c:strCache>
                <c:ptCount val="1"/>
                <c:pt idx="0">
                  <c:v>50</c:v>
                </c:pt>
              </c:strCache>
            </c:strRef>
          </c:tx>
          <c:spPr>
            <a:ln w="19050" cap="rnd">
              <a:solidFill>
                <a:srgbClr val="C0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solidFill>
                  <a:srgbClr val="C00000"/>
                </a:solidFill>
              </a:ln>
              <a:effectLst/>
            </c:spPr>
          </c:marker>
          <c:xVal>
            <c:numRef>
              <c:f>'BEP-AN_ASHP'!$R$6:$AC$6</c:f>
              <c:numCache>
                <c:formatCode>General</c:formatCode>
                <c:ptCount val="12"/>
                <c:pt idx="0">
                  <c:v>1</c:v>
                </c:pt>
                <c:pt idx="1">
                  <c:v>3</c:v>
                </c:pt>
                <c:pt idx="2">
                  <c:v>5</c:v>
                </c:pt>
                <c:pt idx="3">
                  <c:v>8</c:v>
                </c:pt>
                <c:pt idx="4">
                  <c:v>10</c:v>
                </c:pt>
                <c:pt idx="5">
                  <c:v>13</c:v>
                </c:pt>
                <c:pt idx="6">
                  <c:v>16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</c:numCache>
            </c:numRef>
          </c:xVal>
          <c:yVal>
            <c:numRef>
              <c:f>'BEP-AN_ASHP'!$R$8:$AC$8</c:f>
              <c:numCache>
                <c:formatCode>0</c:formatCode>
                <c:ptCount val="12"/>
                <c:pt idx="2">
                  <c:v>4</c:v>
                </c:pt>
                <c:pt idx="3">
                  <c:v>4</c:v>
                </c:pt>
                <c:pt idx="4" formatCode="General">
                  <c:v>4</c:v>
                </c:pt>
                <c:pt idx="5" formatCode="General">
                  <c:v>4</c:v>
                </c:pt>
                <c:pt idx="6" formatCode="General">
                  <c:v>4</c:v>
                </c:pt>
                <c:pt idx="7" formatCode="General">
                  <c:v>4</c:v>
                </c:pt>
                <c:pt idx="8" formatCode="General">
                  <c:v>4</c:v>
                </c:pt>
                <c:pt idx="9" formatCode="General">
                  <c:v>4</c:v>
                </c:pt>
                <c:pt idx="10" formatCode="General">
                  <c:v>4</c:v>
                </c:pt>
                <c:pt idx="11" formatCode="General">
                  <c:v>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190-49DF-BE10-50A7FED07DE7}"/>
            </c:ext>
          </c:extLst>
        </c:ser>
        <c:ser>
          <c:idx val="2"/>
          <c:order val="2"/>
          <c:tx>
            <c:strRef>
              <c:f>'BEP-AN_ASHP'!$Q$9</c:f>
              <c:strCache>
                <c:ptCount val="1"/>
                <c:pt idx="0">
                  <c:v>35</c:v>
                </c:pt>
              </c:strCache>
            </c:strRef>
          </c:tx>
          <c:spPr>
            <a:ln w="19050" cap="rnd">
              <a:solidFill>
                <a:srgbClr val="92D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92D050"/>
              </a:solidFill>
              <a:ln w="9525">
                <a:solidFill>
                  <a:srgbClr val="92D050"/>
                </a:solidFill>
              </a:ln>
              <a:effectLst/>
            </c:spPr>
          </c:marker>
          <c:xVal>
            <c:numRef>
              <c:f>'BEP-AN_ASHP'!$R$6:$AC$6</c:f>
              <c:numCache>
                <c:formatCode>General</c:formatCode>
                <c:ptCount val="12"/>
                <c:pt idx="0">
                  <c:v>1</c:v>
                </c:pt>
                <c:pt idx="1">
                  <c:v>3</c:v>
                </c:pt>
                <c:pt idx="2">
                  <c:v>5</c:v>
                </c:pt>
                <c:pt idx="3">
                  <c:v>8</c:v>
                </c:pt>
                <c:pt idx="4">
                  <c:v>10</c:v>
                </c:pt>
                <c:pt idx="5">
                  <c:v>13</c:v>
                </c:pt>
                <c:pt idx="6">
                  <c:v>16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</c:numCache>
            </c:numRef>
          </c:xVal>
          <c:yVal>
            <c:numRef>
              <c:f>'BEP-AN_ASHP'!$R$9:$AC$9</c:f>
              <c:numCache>
                <c:formatCode>0</c:formatCode>
                <c:ptCount val="12"/>
                <c:pt idx="2">
                  <c:v>4</c:v>
                </c:pt>
                <c:pt idx="3">
                  <c:v>4</c:v>
                </c:pt>
                <c:pt idx="4" formatCode="General">
                  <c:v>4</c:v>
                </c:pt>
                <c:pt idx="5" formatCode="General">
                  <c:v>4</c:v>
                </c:pt>
                <c:pt idx="6" formatCode="General">
                  <c:v>4</c:v>
                </c:pt>
                <c:pt idx="7" formatCode="General">
                  <c:v>4</c:v>
                </c:pt>
                <c:pt idx="8" formatCode="General">
                  <c:v>4</c:v>
                </c:pt>
                <c:pt idx="9" formatCode="General">
                  <c:v>4</c:v>
                </c:pt>
                <c:pt idx="10" formatCode="General">
                  <c:v>4</c:v>
                </c:pt>
                <c:pt idx="11" formatCode="General">
                  <c:v>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3190-49DF-BE10-50A7FED07DE7}"/>
            </c:ext>
          </c:extLst>
        </c:ser>
        <c:ser>
          <c:idx val="3"/>
          <c:order val="3"/>
          <c:tx>
            <c:strRef>
              <c:f>'BEP-AN_ASHP'!$Q$10</c:f>
              <c:strCache>
                <c:ptCount val="1"/>
                <c:pt idx="0">
                  <c:v>25</c:v>
                </c:pt>
              </c:strCache>
            </c:strRef>
          </c:tx>
          <c:spPr>
            <a:ln w="19050" cap="rnd">
              <a:solidFill>
                <a:srgbClr val="F511A9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511A9"/>
              </a:solidFill>
              <a:ln w="9525">
                <a:solidFill>
                  <a:srgbClr val="F511A9"/>
                </a:solidFill>
              </a:ln>
              <a:effectLst/>
            </c:spPr>
          </c:marker>
          <c:xVal>
            <c:numRef>
              <c:f>'BEP-AN_ASHP'!$R$6:$AC$6</c:f>
              <c:numCache>
                <c:formatCode>General</c:formatCode>
                <c:ptCount val="12"/>
                <c:pt idx="0">
                  <c:v>1</c:v>
                </c:pt>
                <c:pt idx="1">
                  <c:v>3</c:v>
                </c:pt>
                <c:pt idx="2">
                  <c:v>5</c:v>
                </c:pt>
                <c:pt idx="3">
                  <c:v>8</c:v>
                </c:pt>
                <c:pt idx="4">
                  <c:v>10</c:v>
                </c:pt>
                <c:pt idx="5">
                  <c:v>13</c:v>
                </c:pt>
                <c:pt idx="6">
                  <c:v>16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</c:numCache>
            </c:numRef>
          </c:xVal>
          <c:yVal>
            <c:numRef>
              <c:f>'BEP-AN_ASHP'!$R$10:$AC$10</c:f>
              <c:numCache>
                <c:formatCode>0</c:formatCode>
                <c:ptCount val="12"/>
                <c:pt idx="2">
                  <c:v>4</c:v>
                </c:pt>
                <c:pt idx="3">
                  <c:v>4</c:v>
                </c:pt>
                <c:pt idx="4" formatCode="General">
                  <c:v>4</c:v>
                </c:pt>
                <c:pt idx="5" formatCode="General">
                  <c:v>4</c:v>
                </c:pt>
                <c:pt idx="6" formatCode="General">
                  <c:v>4</c:v>
                </c:pt>
                <c:pt idx="7" formatCode="General">
                  <c:v>4</c:v>
                </c:pt>
                <c:pt idx="8" formatCode="General">
                  <c:v>4</c:v>
                </c:pt>
                <c:pt idx="9" formatCode="General">
                  <c:v>4</c:v>
                </c:pt>
                <c:pt idx="10" formatCode="General">
                  <c:v>4</c:v>
                </c:pt>
                <c:pt idx="11" formatCode="General">
                  <c:v>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3190-49DF-BE10-50A7FED07DE7}"/>
            </c:ext>
          </c:extLst>
        </c:ser>
        <c:ser>
          <c:idx val="4"/>
          <c:order val="4"/>
          <c:tx>
            <c:strRef>
              <c:f>'BEP-AN_ASHP'!$Q$11</c:f>
              <c:strCache>
                <c:ptCount val="1"/>
                <c:pt idx="0">
                  <c:v>10</c:v>
                </c:pt>
              </c:strCache>
            </c:strRef>
          </c:tx>
          <c:spPr>
            <a:ln w="19050" cap="rnd">
              <a:solidFill>
                <a:srgbClr val="00206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2060"/>
              </a:solidFill>
              <a:ln w="9525">
                <a:solidFill>
                  <a:srgbClr val="002060"/>
                </a:solidFill>
              </a:ln>
              <a:effectLst/>
            </c:spPr>
          </c:marker>
          <c:xVal>
            <c:numRef>
              <c:f>'BEP-AN_ASHP'!$R$6:$AC$6</c:f>
              <c:numCache>
                <c:formatCode>General</c:formatCode>
                <c:ptCount val="12"/>
                <c:pt idx="0">
                  <c:v>1</c:v>
                </c:pt>
                <c:pt idx="1">
                  <c:v>3</c:v>
                </c:pt>
                <c:pt idx="2">
                  <c:v>5</c:v>
                </c:pt>
                <c:pt idx="3">
                  <c:v>8</c:v>
                </c:pt>
                <c:pt idx="4">
                  <c:v>10</c:v>
                </c:pt>
                <c:pt idx="5">
                  <c:v>13</c:v>
                </c:pt>
                <c:pt idx="6">
                  <c:v>16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</c:numCache>
            </c:numRef>
          </c:xVal>
          <c:yVal>
            <c:numRef>
              <c:f>'BEP-AN_ASHP'!$R$11:$AC$11</c:f>
              <c:numCache>
                <c:formatCode>0</c:formatCode>
                <c:ptCount val="12"/>
                <c:pt idx="3">
                  <c:v>4</c:v>
                </c:pt>
                <c:pt idx="4" formatCode="General">
                  <c:v>4</c:v>
                </c:pt>
                <c:pt idx="5" formatCode="General">
                  <c:v>4</c:v>
                </c:pt>
                <c:pt idx="6" formatCode="General">
                  <c:v>4</c:v>
                </c:pt>
                <c:pt idx="7" formatCode="General">
                  <c:v>4</c:v>
                </c:pt>
                <c:pt idx="8" formatCode="General">
                  <c:v>4</c:v>
                </c:pt>
                <c:pt idx="9" formatCode="General">
                  <c:v>4</c:v>
                </c:pt>
                <c:pt idx="10" formatCode="General">
                  <c:v>4</c:v>
                </c:pt>
                <c:pt idx="11" formatCode="General">
                  <c:v>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3190-49DF-BE10-50A7FED07D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9720200"/>
        <c:axId val="1039720528"/>
      </c:scatterChart>
      <c:valAx>
        <c:axId val="1039720200"/>
        <c:scaling>
          <c:orientation val="minMax"/>
          <c:max val="4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1" i="0" u="none" strike="noStrike" kern="1200" baseline="0">
                    <a:solidFill>
                      <a:sysClr val="windowText" lastClr="000000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n-GB"/>
                  <a:t>Number of Connections per Property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1" i="0" u="none" strike="noStrike" kern="1200" baseline="0">
                  <a:solidFill>
                    <a:sysClr val="windowText" lastClr="000000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ysClr val="windowText" lastClr="000000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  <c:crossAx val="1039720528"/>
        <c:crosses val="autoZero"/>
        <c:crossBetween val="midCat"/>
      </c:valAx>
      <c:valAx>
        <c:axId val="1039720528"/>
        <c:scaling>
          <c:orientation val="minMax"/>
          <c:max val="1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1" i="0" u="none" strike="noStrike" kern="1200" baseline="0">
                    <a:solidFill>
                      <a:sysClr val="windowText" lastClr="000000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n-GB"/>
                  <a:t>Break Even Point (Number of  properties)</a:t>
                </a:r>
              </a:p>
            </c:rich>
          </c:tx>
          <c:layout>
            <c:manualLayout>
              <c:xMode val="edge"/>
              <c:yMode val="edge"/>
              <c:x val="1.0640277777777783E-3"/>
              <c:y val="0.1538883333333333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1" i="0" u="none" strike="noStrike" kern="1200" baseline="0">
                  <a:solidFill>
                    <a:sysClr val="windowText" lastClr="000000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ysClr val="windowText" lastClr="000000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  <c:crossAx val="1039720200"/>
        <c:crosses val="autoZero"/>
        <c:crossBetween val="midCat"/>
        <c:minorUnit val="1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2184722222222217"/>
          <c:y val="0.36165888888888886"/>
          <c:w val="0.16756944444444444"/>
          <c:h val="0.3765888888888888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ysClr val="windowText" lastClr="000000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400" b="1">
          <a:solidFill>
            <a:sysClr val="windowText" lastClr="000000"/>
          </a:solidFill>
          <a:latin typeface="Times New Roman" panose="02020603050405020304" pitchFamily="18" charset="0"/>
          <a:cs typeface="Times New Roman" panose="02020603050405020304" pitchFamily="18" charset="0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'BEP-AN_GB'!$R$6</c:f>
              <c:strCache>
                <c:ptCount val="1"/>
                <c:pt idx="0">
                  <c:v>1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'BEP-AN_GB'!$Q$7:$Q$11</c:f>
              <c:numCache>
                <c:formatCode>0</c:formatCode>
                <c:ptCount val="5"/>
                <c:pt idx="0">
                  <c:v>75</c:v>
                </c:pt>
                <c:pt idx="1">
                  <c:v>50</c:v>
                </c:pt>
                <c:pt idx="2">
                  <c:v>35</c:v>
                </c:pt>
                <c:pt idx="3">
                  <c:v>25</c:v>
                </c:pt>
                <c:pt idx="4">
                  <c:v>10</c:v>
                </c:pt>
              </c:numCache>
            </c:numRef>
          </c:xVal>
          <c:yVal>
            <c:numRef>
              <c:f>'BEP-AN_GB'!$R$7:$R$12</c:f>
              <c:numCache>
                <c:formatCode>0</c:formatCode>
                <c:ptCount val="6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0EF-4841-BE92-FFCCB3337815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0EF-4841-BE92-FFCCB3337815}"/>
            </c:ext>
          </c:extLst>
        </c:ser>
        <c:ser>
          <c:idx val="2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0EF-4841-BE92-FFCCB3337815}"/>
            </c:ext>
          </c:extLst>
        </c:ser>
        <c:ser>
          <c:idx val="3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B0EF-4841-BE92-FFCCB3337815}"/>
            </c:ext>
          </c:extLst>
        </c:ser>
        <c:ser>
          <c:idx val="4"/>
          <c:order val="4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B0EF-4841-BE92-FFCCB33378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44204072"/>
        <c:axId val="844204728"/>
      </c:scatterChart>
      <c:valAx>
        <c:axId val="8442040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ysClr val="windowText" lastClr="000000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n-GB"/>
                  <a:t>Density (Properties per Hectare)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ysClr val="windowText" lastClr="000000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ysClr val="windowText" lastClr="000000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  <c:crossAx val="844204728"/>
        <c:crosses val="autoZero"/>
        <c:crossBetween val="midCat"/>
      </c:valAx>
      <c:valAx>
        <c:axId val="8442047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ysClr val="windowText" lastClr="000000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n-US"/>
                  <a:t>BEP (Number of Properties)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ysClr val="windowText" lastClr="000000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ysClr val="windowText" lastClr="000000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  <c:crossAx val="84420407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ysClr val="windowText" lastClr="000000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 b="1">
          <a:solidFill>
            <a:sysClr val="windowText" lastClr="000000"/>
          </a:solidFill>
          <a:latin typeface="Times New Roman" panose="02020603050405020304" pitchFamily="18" charset="0"/>
          <a:cs typeface="Times New Roman" panose="02020603050405020304" pitchFamily="18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80" b="1" i="0" u="none" strike="noStrike" kern="1200" spc="0" baseline="0">
                <a:solidFill>
                  <a:sysClr val="windowText" lastClr="000000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r>
              <a:rPr lang="en-GB"/>
              <a:t>AN-GB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80" b="1" i="0" u="none" strike="noStrike" kern="1200" spc="0" baseline="0">
              <a:solidFill>
                <a:sysClr val="windowText" lastClr="000000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561375"/>
          <c:y val="0.13041305555555557"/>
          <c:w val="0.67859458333333333"/>
          <c:h val="0.69027611111111109"/>
        </c:manualLayout>
      </c:layout>
      <c:scatterChart>
        <c:scatterStyle val="lineMarker"/>
        <c:varyColors val="0"/>
        <c:ser>
          <c:idx val="0"/>
          <c:order val="0"/>
          <c:tx>
            <c:strRef>
              <c:f>'BEP-AN_GB'!$Q$7</c:f>
              <c:strCache>
                <c:ptCount val="1"/>
                <c:pt idx="0">
                  <c:v>75</c:v>
                </c:pt>
              </c:strCache>
            </c:strRef>
          </c:tx>
          <c:spPr>
            <a:ln w="19050" cap="rnd">
              <a:solidFill>
                <a:srgbClr val="FFC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solidFill>
                  <a:srgbClr val="FFC000"/>
                </a:solidFill>
              </a:ln>
              <a:effectLst/>
            </c:spPr>
          </c:marker>
          <c:xVal>
            <c:numRef>
              <c:f>'BEP-AN_GB'!$R$6:$AC$6</c:f>
              <c:numCache>
                <c:formatCode>General</c:formatCode>
                <c:ptCount val="12"/>
                <c:pt idx="0">
                  <c:v>1</c:v>
                </c:pt>
                <c:pt idx="1">
                  <c:v>3</c:v>
                </c:pt>
                <c:pt idx="2">
                  <c:v>5</c:v>
                </c:pt>
                <c:pt idx="3">
                  <c:v>8</c:v>
                </c:pt>
                <c:pt idx="4">
                  <c:v>10</c:v>
                </c:pt>
                <c:pt idx="5">
                  <c:v>13</c:v>
                </c:pt>
                <c:pt idx="6">
                  <c:v>16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</c:numCache>
            </c:numRef>
          </c:xVal>
          <c:yVal>
            <c:numRef>
              <c:f>'BEP-AN_GB'!$R$7:$AC$7</c:f>
              <c:numCache>
                <c:formatCode>0</c:formatCode>
                <c:ptCount val="12"/>
                <c:pt idx="4" formatCode="General">
                  <c:v>4</c:v>
                </c:pt>
                <c:pt idx="5" formatCode="General">
                  <c:v>4</c:v>
                </c:pt>
                <c:pt idx="6" formatCode="General">
                  <c:v>4</c:v>
                </c:pt>
                <c:pt idx="7" formatCode="General">
                  <c:v>4</c:v>
                </c:pt>
                <c:pt idx="8" formatCode="General">
                  <c:v>4</c:v>
                </c:pt>
                <c:pt idx="9" formatCode="General">
                  <c:v>4</c:v>
                </c:pt>
                <c:pt idx="10" formatCode="General">
                  <c:v>4</c:v>
                </c:pt>
                <c:pt idx="11" formatCode="General">
                  <c:v>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D3D-41E8-89DF-858FAFB3D084}"/>
            </c:ext>
          </c:extLst>
        </c:ser>
        <c:ser>
          <c:idx val="1"/>
          <c:order val="1"/>
          <c:tx>
            <c:strRef>
              <c:f>'BEP-AN_GB'!$Q$8</c:f>
              <c:strCache>
                <c:ptCount val="1"/>
                <c:pt idx="0">
                  <c:v>50</c:v>
                </c:pt>
              </c:strCache>
            </c:strRef>
          </c:tx>
          <c:spPr>
            <a:ln w="19050" cap="rnd">
              <a:solidFill>
                <a:srgbClr val="C0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solidFill>
                  <a:srgbClr val="C00000"/>
                </a:solidFill>
              </a:ln>
              <a:effectLst/>
            </c:spPr>
          </c:marker>
          <c:xVal>
            <c:numRef>
              <c:f>'BEP-AN_GB'!$R$6:$AC$6</c:f>
              <c:numCache>
                <c:formatCode>General</c:formatCode>
                <c:ptCount val="12"/>
                <c:pt idx="0">
                  <c:v>1</c:v>
                </c:pt>
                <c:pt idx="1">
                  <c:v>3</c:v>
                </c:pt>
                <c:pt idx="2">
                  <c:v>5</c:v>
                </c:pt>
                <c:pt idx="3">
                  <c:v>8</c:v>
                </c:pt>
                <c:pt idx="4">
                  <c:v>10</c:v>
                </c:pt>
                <c:pt idx="5">
                  <c:v>13</c:v>
                </c:pt>
                <c:pt idx="6">
                  <c:v>16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</c:numCache>
            </c:numRef>
          </c:xVal>
          <c:yVal>
            <c:numRef>
              <c:f>'BEP-AN_GB'!$R$8:$AC$8</c:f>
              <c:numCache>
                <c:formatCode>0</c:formatCode>
                <c:ptCount val="12"/>
                <c:pt idx="4" formatCode="General">
                  <c:v>6</c:v>
                </c:pt>
                <c:pt idx="5" formatCode="General">
                  <c:v>4</c:v>
                </c:pt>
                <c:pt idx="6" formatCode="General">
                  <c:v>4</c:v>
                </c:pt>
                <c:pt idx="7" formatCode="General">
                  <c:v>4</c:v>
                </c:pt>
                <c:pt idx="8" formatCode="General">
                  <c:v>4</c:v>
                </c:pt>
                <c:pt idx="9" formatCode="General">
                  <c:v>4</c:v>
                </c:pt>
                <c:pt idx="10" formatCode="General">
                  <c:v>4</c:v>
                </c:pt>
                <c:pt idx="11" formatCode="General">
                  <c:v>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D3D-41E8-89DF-858FAFB3D084}"/>
            </c:ext>
          </c:extLst>
        </c:ser>
        <c:ser>
          <c:idx val="2"/>
          <c:order val="2"/>
          <c:tx>
            <c:strRef>
              <c:f>'BEP-AN_GB'!$Q$9</c:f>
              <c:strCache>
                <c:ptCount val="1"/>
                <c:pt idx="0">
                  <c:v>35</c:v>
                </c:pt>
              </c:strCache>
            </c:strRef>
          </c:tx>
          <c:spPr>
            <a:ln w="19050" cap="rnd">
              <a:solidFill>
                <a:srgbClr val="92D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92D050"/>
              </a:solidFill>
              <a:ln w="9525">
                <a:solidFill>
                  <a:srgbClr val="92D050"/>
                </a:solidFill>
              </a:ln>
              <a:effectLst/>
            </c:spPr>
          </c:marker>
          <c:xVal>
            <c:numRef>
              <c:f>'BEP-AN_GB'!$R$6:$AC$6</c:f>
              <c:numCache>
                <c:formatCode>General</c:formatCode>
                <c:ptCount val="12"/>
                <c:pt idx="0">
                  <c:v>1</c:v>
                </c:pt>
                <c:pt idx="1">
                  <c:v>3</c:v>
                </c:pt>
                <c:pt idx="2">
                  <c:v>5</c:v>
                </c:pt>
                <c:pt idx="3">
                  <c:v>8</c:v>
                </c:pt>
                <c:pt idx="4">
                  <c:v>10</c:v>
                </c:pt>
                <c:pt idx="5">
                  <c:v>13</c:v>
                </c:pt>
                <c:pt idx="6">
                  <c:v>16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</c:numCache>
            </c:numRef>
          </c:xVal>
          <c:yVal>
            <c:numRef>
              <c:f>'BEP-AN_GB'!$R$9:$AC$9</c:f>
              <c:numCache>
                <c:formatCode>0</c:formatCode>
                <c:ptCount val="12"/>
                <c:pt idx="5" formatCode="General">
                  <c:v>4</c:v>
                </c:pt>
                <c:pt idx="6" formatCode="General">
                  <c:v>4</c:v>
                </c:pt>
                <c:pt idx="7" formatCode="General">
                  <c:v>4</c:v>
                </c:pt>
                <c:pt idx="8" formatCode="General">
                  <c:v>4</c:v>
                </c:pt>
                <c:pt idx="9" formatCode="General">
                  <c:v>4</c:v>
                </c:pt>
                <c:pt idx="10" formatCode="General">
                  <c:v>4</c:v>
                </c:pt>
                <c:pt idx="11" formatCode="General">
                  <c:v>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D3D-41E8-89DF-858FAFB3D084}"/>
            </c:ext>
          </c:extLst>
        </c:ser>
        <c:ser>
          <c:idx val="3"/>
          <c:order val="3"/>
          <c:tx>
            <c:strRef>
              <c:f>'BEP-AN_GB'!$Q$10</c:f>
              <c:strCache>
                <c:ptCount val="1"/>
                <c:pt idx="0">
                  <c:v>25</c:v>
                </c:pt>
              </c:strCache>
            </c:strRef>
          </c:tx>
          <c:spPr>
            <a:ln w="19050" cap="rnd">
              <a:solidFill>
                <a:srgbClr val="F511A9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511A9"/>
              </a:solidFill>
              <a:ln w="9525">
                <a:solidFill>
                  <a:srgbClr val="F511A9"/>
                </a:solidFill>
              </a:ln>
              <a:effectLst/>
            </c:spPr>
          </c:marker>
          <c:xVal>
            <c:numRef>
              <c:f>'BEP-AN_GB'!$R$6:$AC$6</c:f>
              <c:numCache>
                <c:formatCode>General</c:formatCode>
                <c:ptCount val="12"/>
                <c:pt idx="0">
                  <c:v>1</c:v>
                </c:pt>
                <c:pt idx="1">
                  <c:v>3</c:v>
                </c:pt>
                <c:pt idx="2">
                  <c:v>5</c:v>
                </c:pt>
                <c:pt idx="3">
                  <c:v>8</c:v>
                </c:pt>
                <c:pt idx="4">
                  <c:v>10</c:v>
                </c:pt>
                <c:pt idx="5">
                  <c:v>13</c:v>
                </c:pt>
                <c:pt idx="6">
                  <c:v>16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</c:numCache>
            </c:numRef>
          </c:xVal>
          <c:yVal>
            <c:numRef>
              <c:f>'BEP-AN_GB'!$R$10:$AC$10</c:f>
              <c:numCache>
                <c:formatCode>0</c:formatCode>
                <c:ptCount val="12"/>
                <c:pt idx="5" formatCode="General">
                  <c:v>4</c:v>
                </c:pt>
                <c:pt idx="6" formatCode="General">
                  <c:v>4</c:v>
                </c:pt>
                <c:pt idx="7" formatCode="General">
                  <c:v>4</c:v>
                </c:pt>
                <c:pt idx="8" formatCode="General">
                  <c:v>4</c:v>
                </c:pt>
                <c:pt idx="9" formatCode="General">
                  <c:v>4</c:v>
                </c:pt>
                <c:pt idx="10" formatCode="General">
                  <c:v>4</c:v>
                </c:pt>
                <c:pt idx="11" formatCode="General">
                  <c:v>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9D3D-41E8-89DF-858FAFB3D084}"/>
            </c:ext>
          </c:extLst>
        </c:ser>
        <c:ser>
          <c:idx val="4"/>
          <c:order val="4"/>
          <c:tx>
            <c:strRef>
              <c:f>'BEP-AN_GB'!$Q$11</c:f>
              <c:strCache>
                <c:ptCount val="1"/>
                <c:pt idx="0">
                  <c:v>10</c:v>
                </c:pt>
              </c:strCache>
            </c:strRef>
          </c:tx>
          <c:spPr>
            <a:ln w="19050" cap="rnd">
              <a:solidFill>
                <a:srgbClr val="00206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2060"/>
              </a:solidFill>
              <a:ln w="9525">
                <a:solidFill>
                  <a:srgbClr val="002060"/>
                </a:solidFill>
              </a:ln>
              <a:effectLst/>
            </c:spPr>
          </c:marker>
          <c:xVal>
            <c:numRef>
              <c:f>'BEP-AN_GB'!$R$6:$AC$6</c:f>
              <c:numCache>
                <c:formatCode>General</c:formatCode>
                <c:ptCount val="12"/>
                <c:pt idx="0">
                  <c:v>1</c:v>
                </c:pt>
                <c:pt idx="1">
                  <c:v>3</c:v>
                </c:pt>
                <c:pt idx="2">
                  <c:v>5</c:v>
                </c:pt>
                <c:pt idx="3">
                  <c:v>8</c:v>
                </c:pt>
                <c:pt idx="4">
                  <c:v>10</c:v>
                </c:pt>
                <c:pt idx="5">
                  <c:v>13</c:v>
                </c:pt>
                <c:pt idx="6">
                  <c:v>16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</c:numCache>
            </c:numRef>
          </c:xVal>
          <c:yVal>
            <c:numRef>
              <c:f>'BEP-AN_GB'!$R$11:$AC$11</c:f>
              <c:numCache>
                <c:formatCode>0</c:formatCode>
                <c:ptCount val="12"/>
                <c:pt idx="6" formatCode="General">
                  <c:v>5</c:v>
                </c:pt>
                <c:pt idx="7" formatCode="General">
                  <c:v>4</c:v>
                </c:pt>
                <c:pt idx="8" formatCode="General">
                  <c:v>4</c:v>
                </c:pt>
                <c:pt idx="9" formatCode="General">
                  <c:v>4</c:v>
                </c:pt>
                <c:pt idx="10" formatCode="General">
                  <c:v>4</c:v>
                </c:pt>
                <c:pt idx="11" formatCode="General">
                  <c:v>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9D3D-41E8-89DF-858FAFB3D0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9720200"/>
        <c:axId val="1039720528"/>
      </c:scatterChart>
      <c:valAx>
        <c:axId val="1039720200"/>
        <c:scaling>
          <c:orientation val="minMax"/>
          <c:max val="4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1" i="0" u="none" strike="noStrike" kern="1200" baseline="0">
                    <a:solidFill>
                      <a:sysClr val="windowText" lastClr="000000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n-GB"/>
                  <a:t>Number of Connections per Property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1" i="0" u="none" strike="noStrike" kern="1200" baseline="0">
                  <a:solidFill>
                    <a:sysClr val="windowText" lastClr="000000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ysClr val="windowText" lastClr="000000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  <c:crossAx val="1039720528"/>
        <c:crosses val="autoZero"/>
        <c:crossBetween val="midCat"/>
      </c:valAx>
      <c:valAx>
        <c:axId val="1039720528"/>
        <c:scaling>
          <c:orientation val="minMax"/>
          <c:max val="1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1" i="0" u="none" strike="noStrike" kern="1200" baseline="0">
                    <a:solidFill>
                      <a:sysClr val="windowText" lastClr="000000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n-GB"/>
                  <a:t>Break Even Point (Number of  properties)</a:t>
                </a:r>
              </a:p>
            </c:rich>
          </c:tx>
          <c:layout>
            <c:manualLayout>
              <c:xMode val="edge"/>
              <c:yMode val="edge"/>
              <c:x val="1.0640277777777783E-3"/>
              <c:y val="0.1538883333333333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1" i="0" u="none" strike="noStrike" kern="1200" baseline="0">
                  <a:solidFill>
                    <a:sysClr val="windowText" lastClr="000000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ysClr val="windowText" lastClr="000000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  <c:crossAx val="10397202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2184722222222217"/>
          <c:y val="0.36165888888888886"/>
          <c:w val="7.7611111111111117E-2"/>
          <c:h val="0.3765888888888888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ysClr val="windowText" lastClr="000000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400" b="1">
          <a:solidFill>
            <a:sysClr val="windowText" lastClr="000000"/>
          </a:solidFill>
          <a:latin typeface="Times New Roman" panose="02020603050405020304" pitchFamily="18" charset="0"/>
          <a:cs typeface="Times New Roman" panose="02020603050405020304" pitchFamily="18" charset="0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'BEP-DH_AN'!$R$6</c:f>
              <c:strCache>
                <c:ptCount val="1"/>
                <c:pt idx="0">
                  <c:v>1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'BEP-DH_AN'!$Q$7:$Q$11</c:f>
              <c:numCache>
                <c:formatCode>0</c:formatCode>
                <c:ptCount val="5"/>
                <c:pt idx="0">
                  <c:v>75</c:v>
                </c:pt>
                <c:pt idx="1">
                  <c:v>50</c:v>
                </c:pt>
                <c:pt idx="2">
                  <c:v>35</c:v>
                </c:pt>
                <c:pt idx="3">
                  <c:v>25</c:v>
                </c:pt>
                <c:pt idx="4">
                  <c:v>10</c:v>
                </c:pt>
              </c:numCache>
            </c:numRef>
          </c:xVal>
          <c:yVal>
            <c:numRef>
              <c:f>'BEP-DH_AN'!$R$7:$R$12</c:f>
              <c:numCache>
                <c:formatCode>0</c:formatCode>
                <c:ptCount val="6"/>
                <c:pt idx="0">
                  <c:v>48</c:v>
                </c:pt>
                <c:pt idx="1">
                  <c:v>53</c:v>
                </c:pt>
                <c:pt idx="2">
                  <c:v>59</c:v>
                </c:pt>
                <c:pt idx="3">
                  <c:v>67</c:v>
                </c:pt>
                <c:pt idx="4">
                  <c:v>158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40E-4A8F-A587-80787AE8820E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40E-4A8F-A587-80787AE8820E}"/>
            </c:ext>
          </c:extLst>
        </c:ser>
        <c:ser>
          <c:idx val="2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40E-4A8F-A587-80787AE8820E}"/>
            </c:ext>
          </c:extLst>
        </c:ser>
        <c:ser>
          <c:idx val="3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B40E-4A8F-A587-80787AE8820E}"/>
            </c:ext>
          </c:extLst>
        </c:ser>
        <c:ser>
          <c:idx val="4"/>
          <c:order val="4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B40E-4A8F-A587-80787AE882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44204072"/>
        <c:axId val="844204728"/>
      </c:scatterChart>
      <c:valAx>
        <c:axId val="8442040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ysClr val="windowText" lastClr="000000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n-GB"/>
                  <a:t>Density (Properties per Hectare)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ysClr val="windowText" lastClr="000000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ysClr val="windowText" lastClr="000000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  <c:crossAx val="844204728"/>
        <c:crosses val="autoZero"/>
        <c:crossBetween val="midCat"/>
      </c:valAx>
      <c:valAx>
        <c:axId val="8442047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ysClr val="windowText" lastClr="000000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n-US"/>
                  <a:t>BEP (Number of Properties)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ysClr val="windowText" lastClr="000000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ysClr val="windowText" lastClr="000000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  <c:crossAx val="84420407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ysClr val="windowText" lastClr="000000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 b="1">
          <a:solidFill>
            <a:sysClr val="windowText" lastClr="000000"/>
          </a:solidFill>
          <a:latin typeface="Times New Roman" panose="02020603050405020304" pitchFamily="18" charset="0"/>
          <a:cs typeface="Times New Roman" panose="02020603050405020304" pitchFamily="18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80" b="1" i="0" u="none" strike="noStrike" kern="1200" spc="0" baseline="0">
                <a:solidFill>
                  <a:sysClr val="windowText" lastClr="000000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r>
              <a:rPr lang="en-GB"/>
              <a:t>DH-AN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80" b="1" i="0" u="none" strike="noStrike" kern="1200" spc="0" baseline="0">
              <a:solidFill>
                <a:sysClr val="windowText" lastClr="000000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561375"/>
          <c:y val="0.13041305555555557"/>
          <c:w val="0.67859458333333333"/>
          <c:h val="0.69027611111111109"/>
        </c:manualLayout>
      </c:layout>
      <c:scatterChart>
        <c:scatterStyle val="lineMarker"/>
        <c:varyColors val="0"/>
        <c:ser>
          <c:idx val="0"/>
          <c:order val="0"/>
          <c:tx>
            <c:strRef>
              <c:f>'BEP-DH_AN'!$Q$7</c:f>
              <c:strCache>
                <c:ptCount val="1"/>
                <c:pt idx="0">
                  <c:v>75</c:v>
                </c:pt>
              </c:strCache>
            </c:strRef>
          </c:tx>
          <c:spPr>
            <a:ln w="19050" cap="rnd">
              <a:solidFill>
                <a:srgbClr val="FFC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solidFill>
                  <a:srgbClr val="FFC000"/>
                </a:solidFill>
              </a:ln>
              <a:effectLst/>
            </c:spPr>
          </c:marker>
          <c:xVal>
            <c:numRef>
              <c:f>'BEP-DH_AN'!$R$6:$AC$6</c:f>
              <c:numCache>
                <c:formatCode>General</c:formatCode>
                <c:ptCount val="12"/>
                <c:pt idx="0">
                  <c:v>1</c:v>
                </c:pt>
                <c:pt idx="1">
                  <c:v>3</c:v>
                </c:pt>
                <c:pt idx="2">
                  <c:v>5</c:v>
                </c:pt>
                <c:pt idx="3">
                  <c:v>8</c:v>
                </c:pt>
                <c:pt idx="4">
                  <c:v>10</c:v>
                </c:pt>
                <c:pt idx="5">
                  <c:v>13</c:v>
                </c:pt>
                <c:pt idx="6">
                  <c:v>16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</c:numCache>
            </c:numRef>
          </c:xVal>
          <c:yVal>
            <c:numRef>
              <c:f>'BEP-DH_AN'!$R$7:$AC$7</c:f>
              <c:numCache>
                <c:formatCode>0</c:formatCode>
                <c:ptCount val="12"/>
                <c:pt idx="0">
                  <c:v>48</c:v>
                </c:pt>
                <c:pt idx="1">
                  <c:v>36</c:v>
                </c:pt>
                <c:pt idx="2">
                  <c:v>29</c:v>
                </c:pt>
                <c:pt idx="3">
                  <c:v>22</c:v>
                </c:pt>
                <c:pt idx="4" formatCode="General">
                  <c:v>20</c:v>
                </c:pt>
                <c:pt idx="5" formatCode="General">
                  <c:v>16</c:v>
                </c:pt>
                <c:pt idx="6" formatCode="General">
                  <c:v>14</c:v>
                </c:pt>
                <c:pt idx="7" formatCode="General">
                  <c:v>12</c:v>
                </c:pt>
                <c:pt idx="8" formatCode="General">
                  <c:v>10</c:v>
                </c:pt>
                <c:pt idx="9" formatCode="General">
                  <c:v>8</c:v>
                </c:pt>
                <c:pt idx="10" formatCode="General">
                  <c:v>7</c:v>
                </c:pt>
                <c:pt idx="11" formatCode="General">
                  <c:v>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AD8-403B-A6BF-1E8DAA3E238C}"/>
            </c:ext>
          </c:extLst>
        </c:ser>
        <c:ser>
          <c:idx val="1"/>
          <c:order val="1"/>
          <c:tx>
            <c:strRef>
              <c:f>'BEP-DH_AN'!$Q$8</c:f>
              <c:strCache>
                <c:ptCount val="1"/>
                <c:pt idx="0">
                  <c:v>50</c:v>
                </c:pt>
              </c:strCache>
            </c:strRef>
          </c:tx>
          <c:spPr>
            <a:ln w="19050" cap="rnd">
              <a:solidFill>
                <a:srgbClr val="C0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solidFill>
                  <a:srgbClr val="C00000"/>
                </a:solidFill>
              </a:ln>
              <a:effectLst/>
            </c:spPr>
          </c:marker>
          <c:xVal>
            <c:numRef>
              <c:f>'BEP-DH_AN'!$R$6:$AC$6</c:f>
              <c:numCache>
                <c:formatCode>General</c:formatCode>
                <c:ptCount val="12"/>
                <c:pt idx="0">
                  <c:v>1</c:v>
                </c:pt>
                <c:pt idx="1">
                  <c:v>3</c:v>
                </c:pt>
                <c:pt idx="2">
                  <c:v>5</c:v>
                </c:pt>
                <c:pt idx="3">
                  <c:v>8</c:v>
                </c:pt>
                <c:pt idx="4">
                  <c:v>10</c:v>
                </c:pt>
                <c:pt idx="5">
                  <c:v>13</c:v>
                </c:pt>
                <c:pt idx="6">
                  <c:v>16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</c:numCache>
            </c:numRef>
          </c:xVal>
          <c:yVal>
            <c:numRef>
              <c:f>'BEP-DH_AN'!$R$8:$AC$8</c:f>
              <c:numCache>
                <c:formatCode>0</c:formatCode>
                <c:ptCount val="12"/>
                <c:pt idx="0">
                  <c:v>53</c:v>
                </c:pt>
                <c:pt idx="1">
                  <c:v>38</c:v>
                </c:pt>
                <c:pt idx="2">
                  <c:v>31</c:v>
                </c:pt>
                <c:pt idx="3">
                  <c:v>23</c:v>
                </c:pt>
                <c:pt idx="4" formatCode="General">
                  <c:v>20</c:v>
                </c:pt>
                <c:pt idx="5" formatCode="General">
                  <c:v>16</c:v>
                </c:pt>
                <c:pt idx="6" formatCode="General">
                  <c:v>14</c:v>
                </c:pt>
                <c:pt idx="7" formatCode="General">
                  <c:v>12</c:v>
                </c:pt>
                <c:pt idx="8" formatCode="General">
                  <c:v>10</c:v>
                </c:pt>
                <c:pt idx="9" formatCode="General">
                  <c:v>9</c:v>
                </c:pt>
                <c:pt idx="10" formatCode="General">
                  <c:v>8</c:v>
                </c:pt>
                <c:pt idx="11" formatCode="General">
                  <c:v>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AD8-403B-A6BF-1E8DAA3E238C}"/>
            </c:ext>
          </c:extLst>
        </c:ser>
        <c:ser>
          <c:idx val="2"/>
          <c:order val="2"/>
          <c:tx>
            <c:strRef>
              <c:f>'BEP-DH_AN'!$Q$9</c:f>
              <c:strCache>
                <c:ptCount val="1"/>
                <c:pt idx="0">
                  <c:v>35</c:v>
                </c:pt>
              </c:strCache>
            </c:strRef>
          </c:tx>
          <c:spPr>
            <a:ln w="19050" cap="rnd">
              <a:solidFill>
                <a:srgbClr val="92D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92D050"/>
              </a:solidFill>
              <a:ln w="9525">
                <a:solidFill>
                  <a:srgbClr val="92D050"/>
                </a:solidFill>
              </a:ln>
              <a:effectLst/>
            </c:spPr>
          </c:marker>
          <c:xVal>
            <c:numRef>
              <c:f>'BEP-DH_AN'!$R$6:$AC$6</c:f>
              <c:numCache>
                <c:formatCode>General</c:formatCode>
                <c:ptCount val="12"/>
                <c:pt idx="0">
                  <c:v>1</c:v>
                </c:pt>
                <c:pt idx="1">
                  <c:v>3</c:v>
                </c:pt>
                <c:pt idx="2">
                  <c:v>5</c:v>
                </c:pt>
                <c:pt idx="3">
                  <c:v>8</c:v>
                </c:pt>
                <c:pt idx="4">
                  <c:v>10</c:v>
                </c:pt>
                <c:pt idx="5">
                  <c:v>13</c:v>
                </c:pt>
                <c:pt idx="6">
                  <c:v>16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</c:numCache>
            </c:numRef>
          </c:xVal>
          <c:yVal>
            <c:numRef>
              <c:f>'BEP-DH_AN'!$R$9:$AC$9</c:f>
              <c:numCache>
                <c:formatCode>0</c:formatCode>
                <c:ptCount val="12"/>
                <c:pt idx="0">
                  <c:v>59</c:v>
                </c:pt>
                <c:pt idx="1">
                  <c:v>42</c:v>
                </c:pt>
                <c:pt idx="2">
                  <c:v>33</c:v>
                </c:pt>
                <c:pt idx="3">
                  <c:v>25</c:v>
                </c:pt>
                <c:pt idx="4" formatCode="General">
                  <c:v>21</c:v>
                </c:pt>
                <c:pt idx="5" formatCode="General">
                  <c:v>17</c:v>
                </c:pt>
                <c:pt idx="6" formatCode="General">
                  <c:v>15</c:v>
                </c:pt>
                <c:pt idx="7" formatCode="General">
                  <c:v>12</c:v>
                </c:pt>
                <c:pt idx="8" formatCode="General">
                  <c:v>10</c:v>
                </c:pt>
                <c:pt idx="9" formatCode="General">
                  <c:v>9</c:v>
                </c:pt>
                <c:pt idx="10" formatCode="General">
                  <c:v>8</c:v>
                </c:pt>
                <c:pt idx="11" formatCode="General">
                  <c:v>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AD8-403B-A6BF-1E8DAA3E238C}"/>
            </c:ext>
          </c:extLst>
        </c:ser>
        <c:ser>
          <c:idx val="3"/>
          <c:order val="3"/>
          <c:tx>
            <c:strRef>
              <c:f>'BEP-DH_AN'!$Q$10</c:f>
              <c:strCache>
                <c:ptCount val="1"/>
                <c:pt idx="0">
                  <c:v>25</c:v>
                </c:pt>
              </c:strCache>
            </c:strRef>
          </c:tx>
          <c:spPr>
            <a:ln w="19050" cap="rnd">
              <a:solidFill>
                <a:srgbClr val="F511A9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511A9"/>
              </a:solidFill>
              <a:ln w="9525">
                <a:solidFill>
                  <a:srgbClr val="F511A9"/>
                </a:solidFill>
              </a:ln>
              <a:effectLst/>
            </c:spPr>
          </c:marker>
          <c:xVal>
            <c:numRef>
              <c:f>'BEP-DH_AN'!$R$6:$AC$6</c:f>
              <c:numCache>
                <c:formatCode>General</c:formatCode>
                <c:ptCount val="12"/>
                <c:pt idx="0">
                  <c:v>1</c:v>
                </c:pt>
                <c:pt idx="1">
                  <c:v>3</c:v>
                </c:pt>
                <c:pt idx="2">
                  <c:v>5</c:v>
                </c:pt>
                <c:pt idx="3">
                  <c:v>8</c:v>
                </c:pt>
                <c:pt idx="4">
                  <c:v>10</c:v>
                </c:pt>
                <c:pt idx="5">
                  <c:v>13</c:v>
                </c:pt>
                <c:pt idx="6">
                  <c:v>16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</c:numCache>
            </c:numRef>
          </c:xVal>
          <c:yVal>
            <c:numRef>
              <c:f>'BEP-DH_AN'!$R$10:$AC$10</c:f>
              <c:numCache>
                <c:formatCode>0</c:formatCode>
                <c:ptCount val="12"/>
                <c:pt idx="0">
                  <c:v>67</c:v>
                </c:pt>
                <c:pt idx="1">
                  <c:v>46</c:v>
                </c:pt>
                <c:pt idx="2">
                  <c:v>35</c:v>
                </c:pt>
                <c:pt idx="3">
                  <c:v>26</c:v>
                </c:pt>
                <c:pt idx="4" formatCode="General">
                  <c:v>22</c:v>
                </c:pt>
                <c:pt idx="5" formatCode="General">
                  <c:v>18</c:v>
                </c:pt>
                <c:pt idx="6" formatCode="General">
                  <c:v>15</c:v>
                </c:pt>
                <c:pt idx="7" formatCode="General">
                  <c:v>13</c:v>
                </c:pt>
                <c:pt idx="8" formatCode="General">
                  <c:v>10</c:v>
                </c:pt>
                <c:pt idx="9" formatCode="General">
                  <c:v>9</c:v>
                </c:pt>
                <c:pt idx="10" formatCode="General">
                  <c:v>8</c:v>
                </c:pt>
                <c:pt idx="11" formatCode="General">
                  <c:v>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8AD8-403B-A6BF-1E8DAA3E238C}"/>
            </c:ext>
          </c:extLst>
        </c:ser>
        <c:ser>
          <c:idx val="4"/>
          <c:order val="4"/>
          <c:tx>
            <c:strRef>
              <c:f>'BEP-DH_AN'!$Q$11</c:f>
              <c:strCache>
                <c:ptCount val="1"/>
                <c:pt idx="0">
                  <c:v>10</c:v>
                </c:pt>
              </c:strCache>
            </c:strRef>
          </c:tx>
          <c:spPr>
            <a:ln w="19050" cap="rnd">
              <a:solidFill>
                <a:srgbClr val="00206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2060"/>
              </a:solidFill>
              <a:ln w="9525">
                <a:solidFill>
                  <a:srgbClr val="002060"/>
                </a:solidFill>
              </a:ln>
              <a:effectLst/>
            </c:spPr>
          </c:marker>
          <c:xVal>
            <c:numRef>
              <c:f>'BEP-DH_AN'!$R$6:$AC$6</c:f>
              <c:numCache>
                <c:formatCode>General</c:formatCode>
                <c:ptCount val="12"/>
                <c:pt idx="0">
                  <c:v>1</c:v>
                </c:pt>
                <c:pt idx="1">
                  <c:v>3</c:v>
                </c:pt>
                <c:pt idx="2">
                  <c:v>5</c:v>
                </c:pt>
                <c:pt idx="3">
                  <c:v>8</c:v>
                </c:pt>
                <c:pt idx="4">
                  <c:v>10</c:v>
                </c:pt>
                <c:pt idx="5">
                  <c:v>13</c:v>
                </c:pt>
                <c:pt idx="6">
                  <c:v>16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</c:numCache>
            </c:numRef>
          </c:xVal>
          <c:yVal>
            <c:numRef>
              <c:f>'BEP-DH_AN'!$R$11:$AC$11</c:f>
              <c:numCache>
                <c:formatCode>0</c:formatCode>
                <c:ptCount val="12"/>
                <c:pt idx="0">
                  <c:v>158</c:v>
                </c:pt>
                <c:pt idx="1">
                  <c:v>77</c:v>
                </c:pt>
                <c:pt idx="2">
                  <c:v>51</c:v>
                </c:pt>
                <c:pt idx="3">
                  <c:v>33</c:v>
                </c:pt>
                <c:pt idx="4" formatCode="General">
                  <c:v>27</c:v>
                </c:pt>
                <c:pt idx="5" formatCode="General">
                  <c:v>21</c:v>
                </c:pt>
                <c:pt idx="6" formatCode="General">
                  <c:v>17</c:v>
                </c:pt>
                <c:pt idx="7" formatCode="General">
                  <c:v>14</c:v>
                </c:pt>
                <c:pt idx="8" formatCode="General">
                  <c:v>11</c:v>
                </c:pt>
                <c:pt idx="9" formatCode="General">
                  <c:v>10</c:v>
                </c:pt>
                <c:pt idx="10" formatCode="General">
                  <c:v>8</c:v>
                </c:pt>
                <c:pt idx="11" formatCode="General">
                  <c:v>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8AD8-403B-A6BF-1E8DAA3E238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9720200"/>
        <c:axId val="1039720528"/>
      </c:scatterChart>
      <c:valAx>
        <c:axId val="1039720200"/>
        <c:scaling>
          <c:orientation val="minMax"/>
          <c:max val="4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1" i="0" u="none" strike="noStrike" kern="1200" baseline="0">
                    <a:solidFill>
                      <a:sysClr val="windowText" lastClr="000000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n-GB"/>
                  <a:t>Number of Connections per Property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1" i="0" u="none" strike="noStrike" kern="1200" baseline="0">
                  <a:solidFill>
                    <a:sysClr val="windowText" lastClr="000000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ysClr val="windowText" lastClr="000000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  <c:crossAx val="1039720528"/>
        <c:crosses val="autoZero"/>
        <c:crossBetween val="midCat"/>
      </c:valAx>
      <c:valAx>
        <c:axId val="10397205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1" i="0" u="none" strike="noStrike" kern="1200" baseline="0">
                    <a:solidFill>
                      <a:sysClr val="windowText" lastClr="000000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n-GB"/>
                  <a:t>Break Even Point (Number of  properties)</a:t>
                </a:r>
              </a:p>
            </c:rich>
          </c:tx>
          <c:layout>
            <c:manualLayout>
              <c:xMode val="edge"/>
              <c:yMode val="edge"/>
              <c:x val="1.0640277777777783E-3"/>
              <c:y val="0.1538883333333333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1" i="0" u="none" strike="noStrike" kern="1200" baseline="0">
                  <a:solidFill>
                    <a:sysClr val="windowText" lastClr="000000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ysClr val="windowText" lastClr="000000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  <c:crossAx val="10397202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2184722222222217"/>
          <c:y val="0.36165888888888886"/>
          <c:w val="7.7611111111111117E-2"/>
          <c:h val="0.3765888888888888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ysClr val="windowText" lastClr="000000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400" b="1">
          <a:solidFill>
            <a:sysClr val="windowText" lastClr="000000"/>
          </a:solidFill>
          <a:latin typeface="Times New Roman" panose="02020603050405020304" pitchFamily="18" charset="0"/>
          <a:cs typeface="Times New Roman" panose="02020603050405020304" pitchFamily="18" charset="0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'BEP-DH_ASHP'!$R$6</c:f>
              <c:strCache>
                <c:ptCount val="1"/>
                <c:pt idx="0">
                  <c:v>1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'BEP-DH_ASHP'!$Q$7:$Q$11</c:f>
              <c:numCache>
                <c:formatCode>0</c:formatCode>
                <c:ptCount val="5"/>
                <c:pt idx="0">
                  <c:v>75</c:v>
                </c:pt>
                <c:pt idx="1">
                  <c:v>50</c:v>
                </c:pt>
                <c:pt idx="2">
                  <c:v>35</c:v>
                </c:pt>
                <c:pt idx="3">
                  <c:v>25</c:v>
                </c:pt>
                <c:pt idx="4">
                  <c:v>10</c:v>
                </c:pt>
              </c:numCache>
            </c:numRef>
          </c:xVal>
          <c:yVal>
            <c:numRef>
              <c:f>'BEP-DH_ASHP'!$R$7:$R$12</c:f>
              <c:numCache>
                <c:formatCode>0</c:formatCode>
                <c:ptCount val="6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AE6-473B-8C23-E3C22428DB6B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AE6-473B-8C23-E3C22428DB6B}"/>
            </c:ext>
          </c:extLst>
        </c:ser>
        <c:ser>
          <c:idx val="2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6AE6-473B-8C23-E3C22428DB6B}"/>
            </c:ext>
          </c:extLst>
        </c:ser>
        <c:ser>
          <c:idx val="3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6AE6-473B-8C23-E3C22428DB6B}"/>
            </c:ext>
          </c:extLst>
        </c:ser>
        <c:ser>
          <c:idx val="4"/>
          <c:order val="4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6AE6-473B-8C23-E3C22428DB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44204072"/>
        <c:axId val="844204728"/>
      </c:scatterChart>
      <c:valAx>
        <c:axId val="8442040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ysClr val="windowText" lastClr="000000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n-GB"/>
                  <a:t>Density (Properties per Hectare)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ysClr val="windowText" lastClr="000000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ysClr val="windowText" lastClr="000000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  <c:crossAx val="844204728"/>
        <c:crosses val="autoZero"/>
        <c:crossBetween val="midCat"/>
      </c:valAx>
      <c:valAx>
        <c:axId val="8442047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ysClr val="windowText" lastClr="000000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n-US"/>
                  <a:t>BEP (Number of Properties)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ysClr val="windowText" lastClr="000000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ysClr val="windowText" lastClr="000000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  <c:crossAx val="84420407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ysClr val="windowText" lastClr="000000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 b="1">
          <a:solidFill>
            <a:sysClr val="windowText" lastClr="000000"/>
          </a:solidFill>
          <a:latin typeface="Times New Roman" panose="02020603050405020304" pitchFamily="18" charset="0"/>
          <a:cs typeface="Times New Roman" panose="02020603050405020304" pitchFamily="18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80" b="1" i="0" u="none" strike="noStrike" kern="1200" spc="0" baseline="0">
                <a:solidFill>
                  <a:sysClr val="windowText" lastClr="000000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r>
              <a:rPr lang="en-GB"/>
              <a:t>DH-ASHP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80" b="1" i="0" u="none" strike="noStrike" kern="1200" spc="0" baseline="0">
              <a:solidFill>
                <a:sysClr val="windowText" lastClr="000000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561375"/>
          <c:y val="0.13041305555555557"/>
          <c:w val="0.67859458333333333"/>
          <c:h val="0.69027611111111109"/>
        </c:manualLayout>
      </c:layout>
      <c:scatterChart>
        <c:scatterStyle val="lineMarker"/>
        <c:varyColors val="0"/>
        <c:ser>
          <c:idx val="0"/>
          <c:order val="0"/>
          <c:tx>
            <c:strRef>
              <c:f>'BEP-DH_ASHP'!$Q$7</c:f>
              <c:strCache>
                <c:ptCount val="1"/>
                <c:pt idx="0">
                  <c:v>75</c:v>
                </c:pt>
              </c:strCache>
            </c:strRef>
          </c:tx>
          <c:spPr>
            <a:ln w="19050" cap="rnd">
              <a:solidFill>
                <a:srgbClr val="FFC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solidFill>
                  <a:srgbClr val="FFC000"/>
                </a:solidFill>
              </a:ln>
              <a:effectLst/>
            </c:spPr>
          </c:marker>
          <c:xVal>
            <c:numRef>
              <c:f>'BEP-DH_ASHP'!$R$6:$AC$6</c:f>
              <c:numCache>
                <c:formatCode>General</c:formatCode>
                <c:ptCount val="12"/>
                <c:pt idx="0">
                  <c:v>1</c:v>
                </c:pt>
                <c:pt idx="1">
                  <c:v>3</c:v>
                </c:pt>
                <c:pt idx="2">
                  <c:v>5</c:v>
                </c:pt>
                <c:pt idx="3">
                  <c:v>8</c:v>
                </c:pt>
                <c:pt idx="4">
                  <c:v>10</c:v>
                </c:pt>
                <c:pt idx="5">
                  <c:v>13</c:v>
                </c:pt>
                <c:pt idx="6">
                  <c:v>16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</c:numCache>
            </c:numRef>
          </c:xVal>
          <c:yVal>
            <c:numRef>
              <c:f>'BEP-DH_ASHP'!$R$7:$AC$7</c:f>
              <c:numCache>
                <c:formatCode>0</c:formatCode>
                <c:ptCount val="12"/>
                <c:pt idx="1">
                  <c:v>50</c:v>
                </c:pt>
                <c:pt idx="2">
                  <c:v>19</c:v>
                </c:pt>
                <c:pt idx="3">
                  <c:v>10</c:v>
                </c:pt>
                <c:pt idx="4" formatCode="General">
                  <c:v>8</c:v>
                </c:pt>
                <c:pt idx="5" formatCode="General">
                  <c:v>6</c:v>
                </c:pt>
                <c:pt idx="6" formatCode="General">
                  <c:v>5</c:v>
                </c:pt>
                <c:pt idx="7" formatCode="General">
                  <c:v>4</c:v>
                </c:pt>
                <c:pt idx="8" formatCode="General">
                  <c:v>4</c:v>
                </c:pt>
                <c:pt idx="9" formatCode="General">
                  <c:v>4</c:v>
                </c:pt>
                <c:pt idx="10" formatCode="General">
                  <c:v>4</c:v>
                </c:pt>
                <c:pt idx="11" formatCode="General">
                  <c:v>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2C8-44D6-AB30-99F099F44951}"/>
            </c:ext>
          </c:extLst>
        </c:ser>
        <c:ser>
          <c:idx val="1"/>
          <c:order val="1"/>
          <c:tx>
            <c:strRef>
              <c:f>'BEP-DH_ASHP'!$Q$8</c:f>
              <c:strCache>
                <c:ptCount val="1"/>
                <c:pt idx="0">
                  <c:v>50</c:v>
                </c:pt>
              </c:strCache>
            </c:strRef>
          </c:tx>
          <c:spPr>
            <a:ln w="19050" cap="rnd">
              <a:solidFill>
                <a:srgbClr val="C0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solidFill>
                  <a:srgbClr val="C00000"/>
                </a:solidFill>
              </a:ln>
              <a:effectLst/>
            </c:spPr>
          </c:marker>
          <c:xVal>
            <c:numRef>
              <c:f>'BEP-DH_ASHP'!$R$6:$AC$6</c:f>
              <c:numCache>
                <c:formatCode>General</c:formatCode>
                <c:ptCount val="12"/>
                <c:pt idx="0">
                  <c:v>1</c:v>
                </c:pt>
                <c:pt idx="1">
                  <c:v>3</c:v>
                </c:pt>
                <c:pt idx="2">
                  <c:v>5</c:v>
                </c:pt>
                <c:pt idx="3">
                  <c:v>8</c:v>
                </c:pt>
                <c:pt idx="4">
                  <c:v>10</c:v>
                </c:pt>
                <c:pt idx="5">
                  <c:v>13</c:v>
                </c:pt>
                <c:pt idx="6">
                  <c:v>16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</c:numCache>
            </c:numRef>
          </c:xVal>
          <c:yVal>
            <c:numRef>
              <c:f>'BEP-DH_ASHP'!$R$8:$AC$8</c:f>
              <c:numCache>
                <c:formatCode>0</c:formatCode>
                <c:ptCount val="12"/>
                <c:pt idx="1">
                  <c:v>63</c:v>
                </c:pt>
                <c:pt idx="2">
                  <c:v>21</c:v>
                </c:pt>
                <c:pt idx="3">
                  <c:v>11</c:v>
                </c:pt>
                <c:pt idx="4" formatCode="General">
                  <c:v>8</c:v>
                </c:pt>
                <c:pt idx="5" formatCode="General">
                  <c:v>6</c:v>
                </c:pt>
                <c:pt idx="6" formatCode="General">
                  <c:v>5</c:v>
                </c:pt>
                <c:pt idx="7" formatCode="General">
                  <c:v>4</c:v>
                </c:pt>
                <c:pt idx="8" formatCode="General">
                  <c:v>4</c:v>
                </c:pt>
                <c:pt idx="9" formatCode="General">
                  <c:v>4</c:v>
                </c:pt>
                <c:pt idx="10" formatCode="General">
                  <c:v>4</c:v>
                </c:pt>
                <c:pt idx="11" formatCode="General">
                  <c:v>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2C8-44D6-AB30-99F099F44951}"/>
            </c:ext>
          </c:extLst>
        </c:ser>
        <c:ser>
          <c:idx val="2"/>
          <c:order val="2"/>
          <c:tx>
            <c:strRef>
              <c:f>'BEP-DH_ASHP'!$Q$9</c:f>
              <c:strCache>
                <c:ptCount val="1"/>
                <c:pt idx="0">
                  <c:v>35</c:v>
                </c:pt>
              </c:strCache>
            </c:strRef>
          </c:tx>
          <c:spPr>
            <a:ln w="19050" cap="rnd">
              <a:solidFill>
                <a:srgbClr val="92D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92D050"/>
              </a:solidFill>
              <a:ln w="9525">
                <a:solidFill>
                  <a:srgbClr val="92D050"/>
                </a:solidFill>
              </a:ln>
              <a:effectLst/>
            </c:spPr>
          </c:marker>
          <c:xVal>
            <c:numRef>
              <c:f>'BEP-DH_ASHP'!$R$6:$AC$6</c:f>
              <c:numCache>
                <c:formatCode>General</c:formatCode>
                <c:ptCount val="12"/>
                <c:pt idx="0">
                  <c:v>1</c:v>
                </c:pt>
                <c:pt idx="1">
                  <c:v>3</c:v>
                </c:pt>
                <c:pt idx="2">
                  <c:v>5</c:v>
                </c:pt>
                <c:pt idx="3">
                  <c:v>8</c:v>
                </c:pt>
                <c:pt idx="4">
                  <c:v>10</c:v>
                </c:pt>
                <c:pt idx="5">
                  <c:v>13</c:v>
                </c:pt>
                <c:pt idx="6">
                  <c:v>16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</c:numCache>
            </c:numRef>
          </c:xVal>
          <c:yVal>
            <c:numRef>
              <c:f>'BEP-DH_ASHP'!$R$9:$AC$9</c:f>
              <c:numCache>
                <c:formatCode>0</c:formatCode>
                <c:ptCount val="12"/>
                <c:pt idx="1">
                  <c:v>106</c:v>
                </c:pt>
                <c:pt idx="2">
                  <c:v>24</c:v>
                </c:pt>
                <c:pt idx="3">
                  <c:v>11</c:v>
                </c:pt>
                <c:pt idx="4" formatCode="General">
                  <c:v>8</c:v>
                </c:pt>
                <c:pt idx="5" formatCode="General">
                  <c:v>6</c:v>
                </c:pt>
                <c:pt idx="6" formatCode="General">
                  <c:v>5</c:v>
                </c:pt>
                <c:pt idx="7" formatCode="General">
                  <c:v>4</c:v>
                </c:pt>
                <c:pt idx="8" formatCode="General">
                  <c:v>4</c:v>
                </c:pt>
                <c:pt idx="9" formatCode="General">
                  <c:v>4</c:v>
                </c:pt>
                <c:pt idx="10" formatCode="General">
                  <c:v>4</c:v>
                </c:pt>
                <c:pt idx="11" formatCode="General">
                  <c:v>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2C8-44D6-AB30-99F099F44951}"/>
            </c:ext>
          </c:extLst>
        </c:ser>
        <c:ser>
          <c:idx val="3"/>
          <c:order val="3"/>
          <c:tx>
            <c:strRef>
              <c:f>'BEP-DH_ASHP'!$Q$10</c:f>
              <c:strCache>
                <c:ptCount val="1"/>
                <c:pt idx="0">
                  <c:v>25</c:v>
                </c:pt>
              </c:strCache>
            </c:strRef>
          </c:tx>
          <c:spPr>
            <a:ln w="19050" cap="rnd">
              <a:solidFill>
                <a:srgbClr val="F511A9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511A9"/>
              </a:solidFill>
              <a:ln w="9525">
                <a:solidFill>
                  <a:srgbClr val="F511A9"/>
                </a:solidFill>
              </a:ln>
              <a:effectLst/>
            </c:spPr>
          </c:marker>
          <c:xVal>
            <c:numRef>
              <c:f>'BEP-DH_ASHP'!$R$6:$AC$6</c:f>
              <c:numCache>
                <c:formatCode>General</c:formatCode>
                <c:ptCount val="12"/>
                <c:pt idx="0">
                  <c:v>1</c:v>
                </c:pt>
                <c:pt idx="1">
                  <c:v>3</c:v>
                </c:pt>
                <c:pt idx="2">
                  <c:v>5</c:v>
                </c:pt>
                <c:pt idx="3">
                  <c:v>8</c:v>
                </c:pt>
                <c:pt idx="4">
                  <c:v>10</c:v>
                </c:pt>
                <c:pt idx="5">
                  <c:v>13</c:v>
                </c:pt>
                <c:pt idx="6">
                  <c:v>16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</c:numCache>
            </c:numRef>
          </c:xVal>
          <c:yVal>
            <c:numRef>
              <c:f>'BEP-DH_ASHP'!$R$10:$AC$10</c:f>
              <c:numCache>
                <c:formatCode>0</c:formatCode>
                <c:ptCount val="12"/>
                <c:pt idx="1">
                  <c:v>906</c:v>
                </c:pt>
                <c:pt idx="2">
                  <c:v>29</c:v>
                </c:pt>
                <c:pt idx="3">
                  <c:v>12</c:v>
                </c:pt>
                <c:pt idx="4" formatCode="General">
                  <c:v>9</c:v>
                </c:pt>
                <c:pt idx="5" formatCode="General">
                  <c:v>6</c:v>
                </c:pt>
                <c:pt idx="6" formatCode="General">
                  <c:v>5</c:v>
                </c:pt>
                <c:pt idx="7" formatCode="General">
                  <c:v>4</c:v>
                </c:pt>
                <c:pt idx="8" formatCode="General">
                  <c:v>4</c:v>
                </c:pt>
                <c:pt idx="9" formatCode="General">
                  <c:v>4</c:v>
                </c:pt>
                <c:pt idx="10" formatCode="General">
                  <c:v>4</c:v>
                </c:pt>
                <c:pt idx="11" formatCode="General">
                  <c:v>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2C8-44D6-AB30-99F099F44951}"/>
            </c:ext>
          </c:extLst>
        </c:ser>
        <c:ser>
          <c:idx val="4"/>
          <c:order val="4"/>
          <c:tx>
            <c:strRef>
              <c:f>'BEP-DH_ASHP'!$Q$11</c:f>
              <c:strCache>
                <c:ptCount val="1"/>
                <c:pt idx="0">
                  <c:v>10</c:v>
                </c:pt>
              </c:strCache>
            </c:strRef>
          </c:tx>
          <c:spPr>
            <a:ln w="19050" cap="rnd">
              <a:solidFill>
                <a:srgbClr val="00206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2060"/>
              </a:solidFill>
              <a:ln w="9525">
                <a:solidFill>
                  <a:srgbClr val="002060"/>
                </a:solidFill>
              </a:ln>
              <a:effectLst/>
            </c:spPr>
          </c:marker>
          <c:xVal>
            <c:numRef>
              <c:f>'BEP-DH_ASHP'!$R$6:$AC$6</c:f>
              <c:numCache>
                <c:formatCode>General</c:formatCode>
                <c:ptCount val="12"/>
                <c:pt idx="0">
                  <c:v>1</c:v>
                </c:pt>
                <c:pt idx="1">
                  <c:v>3</c:v>
                </c:pt>
                <c:pt idx="2">
                  <c:v>5</c:v>
                </c:pt>
                <c:pt idx="3">
                  <c:v>8</c:v>
                </c:pt>
                <c:pt idx="4">
                  <c:v>10</c:v>
                </c:pt>
                <c:pt idx="5">
                  <c:v>13</c:v>
                </c:pt>
                <c:pt idx="6">
                  <c:v>16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</c:numCache>
            </c:numRef>
          </c:xVal>
          <c:yVal>
            <c:numRef>
              <c:f>'BEP-DH_ASHP'!$R$11:$AC$11</c:f>
              <c:numCache>
                <c:formatCode>0</c:formatCode>
                <c:ptCount val="12"/>
                <c:pt idx="2">
                  <c:v>143</c:v>
                </c:pt>
                <c:pt idx="3">
                  <c:v>18</c:v>
                </c:pt>
                <c:pt idx="4" formatCode="General">
                  <c:v>12</c:v>
                </c:pt>
                <c:pt idx="5" formatCode="General">
                  <c:v>8</c:v>
                </c:pt>
                <c:pt idx="6" formatCode="General">
                  <c:v>6</c:v>
                </c:pt>
                <c:pt idx="7" formatCode="General">
                  <c:v>4</c:v>
                </c:pt>
                <c:pt idx="8" formatCode="General">
                  <c:v>4</c:v>
                </c:pt>
                <c:pt idx="9" formatCode="General">
                  <c:v>4</c:v>
                </c:pt>
                <c:pt idx="10" formatCode="General">
                  <c:v>4</c:v>
                </c:pt>
                <c:pt idx="11" formatCode="General">
                  <c:v>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E2C8-44D6-AB30-99F099F449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9720200"/>
        <c:axId val="1039720528"/>
      </c:scatterChart>
      <c:valAx>
        <c:axId val="1039720200"/>
        <c:scaling>
          <c:orientation val="minMax"/>
          <c:max val="4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1" i="0" u="none" strike="noStrike" kern="1200" baseline="0">
                    <a:solidFill>
                      <a:sysClr val="windowText" lastClr="000000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n-GB"/>
                  <a:t>Number of Connections per Property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1" i="0" u="none" strike="noStrike" kern="1200" baseline="0">
                  <a:solidFill>
                    <a:sysClr val="windowText" lastClr="000000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ysClr val="windowText" lastClr="000000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  <c:crossAx val="1039720528"/>
        <c:crosses val="autoZero"/>
        <c:crossBetween val="midCat"/>
      </c:valAx>
      <c:valAx>
        <c:axId val="10397205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1" i="0" u="none" strike="noStrike" kern="1200" baseline="0">
                    <a:solidFill>
                      <a:sysClr val="windowText" lastClr="000000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n-GB"/>
                  <a:t>Break Even Point (Number of  properties)</a:t>
                </a:r>
              </a:p>
            </c:rich>
          </c:tx>
          <c:layout>
            <c:manualLayout>
              <c:xMode val="edge"/>
              <c:yMode val="edge"/>
              <c:x val="1.0640277777777783E-3"/>
              <c:y val="0.1538883333333333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1" i="0" u="none" strike="noStrike" kern="1200" baseline="0">
                  <a:solidFill>
                    <a:sysClr val="windowText" lastClr="000000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ysClr val="windowText" lastClr="000000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  <c:crossAx val="10397202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2184722222222217"/>
          <c:y val="0.36165888888888886"/>
          <c:w val="0.16756944444444444"/>
          <c:h val="0.3765888888888888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ysClr val="windowText" lastClr="000000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400" b="1">
          <a:solidFill>
            <a:sysClr val="windowText" lastClr="000000"/>
          </a:solidFill>
          <a:latin typeface="Times New Roman" panose="02020603050405020304" pitchFamily="18" charset="0"/>
          <a:cs typeface="Times New Roman" panose="02020603050405020304" pitchFamily="18" charset="0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'BEP-DH_GB'!$R$6</c:f>
              <c:strCache>
                <c:ptCount val="1"/>
                <c:pt idx="0">
                  <c:v>1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'BEP-DH_GB'!$Q$7:$Q$11</c:f>
              <c:numCache>
                <c:formatCode>0</c:formatCode>
                <c:ptCount val="5"/>
                <c:pt idx="0">
                  <c:v>75</c:v>
                </c:pt>
                <c:pt idx="1">
                  <c:v>50</c:v>
                </c:pt>
                <c:pt idx="2">
                  <c:v>35</c:v>
                </c:pt>
                <c:pt idx="3">
                  <c:v>25</c:v>
                </c:pt>
                <c:pt idx="4">
                  <c:v>10</c:v>
                </c:pt>
              </c:numCache>
            </c:numRef>
          </c:xVal>
          <c:yVal>
            <c:numRef>
              <c:f>'BEP-DH_GB'!$R$7:$R$12</c:f>
              <c:numCache>
                <c:formatCode>0</c:formatCode>
                <c:ptCount val="6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131-4DAD-A5AA-BF6A04D20DB6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131-4DAD-A5AA-BF6A04D20DB6}"/>
            </c:ext>
          </c:extLst>
        </c:ser>
        <c:ser>
          <c:idx val="2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131-4DAD-A5AA-BF6A04D20DB6}"/>
            </c:ext>
          </c:extLst>
        </c:ser>
        <c:ser>
          <c:idx val="3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F131-4DAD-A5AA-BF6A04D20DB6}"/>
            </c:ext>
          </c:extLst>
        </c:ser>
        <c:ser>
          <c:idx val="4"/>
          <c:order val="4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F131-4DAD-A5AA-BF6A04D20D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44204072"/>
        <c:axId val="844204728"/>
      </c:scatterChart>
      <c:valAx>
        <c:axId val="8442040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ysClr val="windowText" lastClr="000000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n-GB"/>
                  <a:t>Density (Properties per Hectare)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ysClr val="windowText" lastClr="000000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ysClr val="windowText" lastClr="000000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  <c:crossAx val="844204728"/>
        <c:crosses val="autoZero"/>
        <c:crossBetween val="midCat"/>
      </c:valAx>
      <c:valAx>
        <c:axId val="8442047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ysClr val="windowText" lastClr="000000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n-US"/>
                  <a:t>BEP (Number of Properties)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ysClr val="windowText" lastClr="000000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ysClr val="windowText" lastClr="000000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  <c:crossAx val="84420407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ysClr val="windowText" lastClr="000000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 b="1">
          <a:solidFill>
            <a:sysClr val="windowText" lastClr="000000"/>
          </a:solidFill>
          <a:latin typeface="Times New Roman" panose="02020603050405020304" pitchFamily="18" charset="0"/>
          <a:cs typeface="Times New Roman" panose="02020603050405020304" pitchFamily="18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80" b="1" i="0" u="none" strike="noStrike" kern="1200" spc="0" baseline="0">
                <a:solidFill>
                  <a:sysClr val="windowText" lastClr="000000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r>
              <a:rPr lang="en-GB"/>
              <a:t>DH-GB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80" b="1" i="0" u="none" strike="noStrike" kern="1200" spc="0" baseline="0">
              <a:solidFill>
                <a:sysClr val="windowText" lastClr="000000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561375"/>
          <c:y val="0.13041305555555557"/>
          <c:w val="0.67859458333333333"/>
          <c:h val="0.69027611111111109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'BEP-DH_GB'!$Q$7</c:f>
              <c:strCache>
                <c:ptCount val="1"/>
                <c:pt idx="0">
                  <c:v>75</c:v>
                </c:pt>
              </c:strCache>
            </c:strRef>
          </c:tx>
          <c:spPr>
            <a:ln w="19050" cap="rnd">
              <a:solidFill>
                <a:srgbClr val="FFC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solidFill>
                  <a:srgbClr val="FFC000"/>
                </a:solidFill>
              </a:ln>
              <a:effectLst/>
            </c:spPr>
          </c:marker>
          <c:xVal>
            <c:numRef>
              <c:f>'BEP-DH_GB'!$R$6:$AC$6</c:f>
              <c:numCache>
                <c:formatCode>General</c:formatCode>
                <c:ptCount val="12"/>
                <c:pt idx="0">
                  <c:v>1</c:v>
                </c:pt>
                <c:pt idx="1">
                  <c:v>3</c:v>
                </c:pt>
                <c:pt idx="2">
                  <c:v>5</c:v>
                </c:pt>
                <c:pt idx="3">
                  <c:v>8</c:v>
                </c:pt>
                <c:pt idx="4">
                  <c:v>10</c:v>
                </c:pt>
                <c:pt idx="5">
                  <c:v>13</c:v>
                </c:pt>
                <c:pt idx="6">
                  <c:v>16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</c:numCache>
            </c:numRef>
          </c:xVal>
          <c:yVal>
            <c:numRef>
              <c:f>'BEP-DH_GB'!$R$7:$AC$7</c:f>
              <c:numCache>
                <c:formatCode>0</c:formatCode>
                <c:ptCount val="12"/>
                <c:pt idx="2">
                  <c:v>65</c:v>
                </c:pt>
                <c:pt idx="3">
                  <c:v>25</c:v>
                </c:pt>
                <c:pt idx="4" formatCode="General">
                  <c:v>18</c:v>
                </c:pt>
                <c:pt idx="5" formatCode="General">
                  <c:v>12</c:v>
                </c:pt>
                <c:pt idx="6" formatCode="General">
                  <c:v>10</c:v>
                </c:pt>
                <c:pt idx="7" formatCode="General">
                  <c:v>7</c:v>
                </c:pt>
                <c:pt idx="8" formatCode="General">
                  <c:v>6</c:v>
                </c:pt>
                <c:pt idx="9" formatCode="General">
                  <c:v>5</c:v>
                </c:pt>
                <c:pt idx="10" formatCode="General">
                  <c:v>4</c:v>
                </c:pt>
                <c:pt idx="11" formatCode="General">
                  <c:v>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594-4F6E-83C6-8BA963DEEEFF}"/>
            </c:ext>
          </c:extLst>
        </c:ser>
        <c:ser>
          <c:idx val="1"/>
          <c:order val="1"/>
          <c:tx>
            <c:strRef>
              <c:f>'BEP-DH_GB'!$Q$8</c:f>
              <c:strCache>
                <c:ptCount val="1"/>
                <c:pt idx="0">
                  <c:v>50</c:v>
                </c:pt>
              </c:strCache>
            </c:strRef>
          </c:tx>
          <c:spPr>
            <a:ln w="19050" cap="rnd">
              <a:solidFill>
                <a:srgbClr val="C0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solidFill>
                  <a:srgbClr val="C00000"/>
                </a:solidFill>
              </a:ln>
              <a:effectLst/>
            </c:spPr>
          </c:marker>
          <c:xVal>
            <c:numRef>
              <c:f>'BEP-DH_GB'!$R$6:$AC$6</c:f>
              <c:numCache>
                <c:formatCode>General</c:formatCode>
                <c:ptCount val="12"/>
                <c:pt idx="0">
                  <c:v>1</c:v>
                </c:pt>
                <c:pt idx="1">
                  <c:v>3</c:v>
                </c:pt>
                <c:pt idx="2">
                  <c:v>5</c:v>
                </c:pt>
                <c:pt idx="3">
                  <c:v>8</c:v>
                </c:pt>
                <c:pt idx="4">
                  <c:v>10</c:v>
                </c:pt>
                <c:pt idx="5">
                  <c:v>13</c:v>
                </c:pt>
                <c:pt idx="6">
                  <c:v>16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</c:numCache>
            </c:numRef>
          </c:xVal>
          <c:yVal>
            <c:numRef>
              <c:f>'BEP-DH_GB'!$R$8:$AC$8</c:f>
              <c:numCache>
                <c:formatCode>0</c:formatCode>
                <c:ptCount val="12"/>
                <c:pt idx="2">
                  <c:v>109</c:v>
                </c:pt>
                <c:pt idx="3">
                  <c:v>29</c:v>
                </c:pt>
                <c:pt idx="4" formatCode="General">
                  <c:v>20</c:v>
                </c:pt>
                <c:pt idx="5" formatCode="General">
                  <c:v>13</c:v>
                </c:pt>
                <c:pt idx="6" formatCode="General">
                  <c:v>10</c:v>
                </c:pt>
                <c:pt idx="7" formatCode="General">
                  <c:v>8</c:v>
                </c:pt>
                <c:pt idx="8" formatCode="General">
                  <c:v>6</c:v>
                </c:pt>
                <c:pt idx="9" formatCode="General">
                  <c:v>5</c:v>
                </c:pt>
                <c:pt idx="10" formatCode="General">
                  <c:v>4</c:v>
                </c:pt>
                <c:pt idx="11" formatCode="General">
                  <c:v>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594-4F6E-83C6-8BA963DEEEFF}"/>
            </c:ext>
          </c:extLst>
        </c:ser>
        <c:ser>
          <c:idx val="2"/>
          <c:order val="2"/>
          <c:tx>
            <c:strRef>
              <c:f>'BEP-DH_GB'!$Q$9</c:f>
              <c:strCache>
                <c:ptCount val="1"/>
                <c:pt idx="0">
                  <c:v>35</c:v>
                </c:pt>
              </c:strCache>
            </c:strRef>
          </c:tx>
          <c:spPr>
            <a:ln w="19050" cap="rnd">
              <a:solidFill>
                <a:srgbClr val="92D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92D050"/>
              </a:solidFill>
              <a:ln w="9525">
                <a:solidFill>
                  <a:srgbClr val="92D050"/>
                </a:solidFill>
              </a:ln>
              <a:effectLst/>
            </c:spPr>
          </c:marker>
          <c:xVal>
            <c:numRef>
              <c:f>'BEP-DH_GB'!$R$6:$AC$6</c:f>
              <c:numCache>
                <c:formatCode>General</c:formatCode>
                <c:ptCount val="12"/>
                <c:pt idx="0">
                  <c:v>1</c:v>
                </c:pt>
                <c:pt idx="1">
                  <c:v>3</c:v>
                </c:pt>
                <c:pt idx="2">
                  <c:v>5</c:v>
                </c:pt>
                <c:pt idx="3">
                  <c:v>8</c:v>
                </c:pt>
                <c:pt idx="4">
                  <c:v>10</c:v>
                </c:pt>
                <c:pt idx="5">
                  <c:v>13</c:v>
                </c:pt>
                <c:pt idx="6">
                  <c:v>16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</c:numCache>
            </c:numRef>
          </c:xVal>
          <c:yVal>
            <c:numRef>
              <c:f>'BEP-DH_GB'!$R$9:$AC$9</c:f>
              <c:numCache>
                <c:formatCode>0</c:formatCode>
                <c:ptCount val="12"/>
                <c:pt idx="2">
                  <c:v>481</c:v>
                </c:pt>
                <c:pt idx="3">
                  <c:v>36</c:v>
                </c:pt>
                <c:pt idx="4" formatCode="General">
                  <c:v>22</c:v>
                </c:pt>
                <c:pt idx="5" formatCode="General">
                  <c:v>15</c:v>
                </c:pt>
                <c:pt idx="6" formatCode="General">
                  <c:v>11</c:v>
                </c:pt>
                <c:pt idx="7" formatCode="General">
                  <c:v>8</c:v>
                </c:pt>
                <c:pt idx="8" formatCode="General">
                  <c:v>6</c:v>
                </c:pt>
                <c:pt idx="9" formatCode="General">
                  <c:v>5</c:v>
                </c:pt>
                <c:pt idx="10" formatCode="General">
                  <c:v>4</c:v>
                </c:pt>
                <c:pt idx="11" formatCode="General">
                  <c:v>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4594-4F6E-83C6-8BA963DEEEFF}"/>
            </c:ext>
          </c:extLst>
        </c:ser>
        <c:ser>
          <c:idx val="3"/>
          <c:order val="3"/>
          <c:tx>
            <c:strRef>
              <c:f>'BEP-DH_GB'!$Q$10</c:f>
              <c:strCache>
                <c:ptCount val="1"/>
                <c:pt idx="0">
                  <c:v>25</c:v>
                </c:pt>
              </c:strCache>
            </c:strRef>
          </c:tx>
          <c:spPr>
            <a:ln w="19050" cap="rnd">
              <a:solidFill>
                <a:srgbClr val="F511A9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511A9"/>
              </a:solidFill>
              <a:ln w="9525">
                <a:solidFill>
                  <a:srgbClr val="F511A9"/>
                </a:solidFill>
              </a:ln>
              <a:effectLst/>
            </c:spPr>
          </c:marker>
          <c:xVal>
            <c:numRef>
              <c:f>'BEP-DH_GB'!$R$6:$AC$6</c:f>
              <c:numCache>
                <c:formatCode>General</c:formatCode>
                <c:ptCount val="12"/>
                <c:pt idx="0">
                  <c:v>1</c:v>
                </c:pt>
                <c:pt idx="1">
                  <c:v>3</c:v>
                </c:pt>
                <c:pt idx="2">
                  <c:v>5</c:v>
                </c:pt>
                <c:pt idx="3">
                  <c:v>8</c:v>
                </c:pt>
                <c:pt idx="4">
                  <c:v>10</c:v>
                </c:pt>
                <c:pt idx="5">
                  <c:v>13</c:v>
                </c:pt>
                <c:pt idx="6">
                  <c:v>16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</c:numCache>
            </c:numRef>
          </c:xVal>
          <c:yVal>
            <c:numRef>
              <c:f>'BEP-DH_GB'!$R$10:$AC$10</c:f>
              <c:numCache>
                <c:formatCode>0</c:formatCode>
                <c:ptCount val="12"/>
                <c:pt idx="3">
                  <c:v>48</c:v>
                </c:pt>
                <c:pt idx="4" formatCode="General">
                  <c:v>27</c:v>
                </c:pt>
                <c:pt idx="5" formatCode="General">
                  <c:v>16</c:v>
                </c:pt>
                <c:pt idx="6" formatCode="General">
                  <c:v>12</c:v>
                </c:pt>
                <c:pt idx="7" formatCode="General">
                  <c:v>9</c:v>
                </c:pt>
                <c:pt idx="8" formatCode="General">
                  <c:v>6</c:v>
                </c:pt>
                <c:pt idx="9" formatCode="General">
                  <c:v>5</c:v>
                </c:pt>
                <c:pt idx="10" formatCode="General">
                  <c:v>4</c:v>
                </c:pt>
                <c:pt idx="11" formatCode="General">
                  <c:v>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4594-4F6E-83C6-8BA963DEEEFF}"/>
            </c:ext>
          </c:extLst>
        </c:ser>
        <c:ser>
          <c:idx val="4"/>
          <c:order val="4"/>
          <c:tx>
            <c:strRef>
              <c:f>'BEP-DH_GB'!$Q$11</c:f>
              <c:strCache>
                <c:ptCount val="1"/>
                <c:pt idx="0">
                  <c:v>10</c:v>
                </c:pt>
              </c:strCache>
            </c:strRef>
          </c:tx>
          <c:spPr>
            <a:ln w="19050" cap="rnd">
              <a:solidFill>
                <a:srgbClr val="00206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2060"/>
              </a:solidFill>
              <a:ln w="9525">
                <a:solidFill>
                  <a:srgbClr val="002060"/>
                </a:solidFill>
              </a:ln>
              <a:effectLst/>
            </c:spPr>
          </c:marker>
          <c:xVal>
            <c:numRef>
              <c:f>'BEP-DH_GB'!$R$6:$AC$6</c:f>
              <c:numCache>
                <c:formatCode>General</c:formatCode>
                <c:ptCount val="12"/>
                <c:pt idx="0">
                  <c:v>1</c:v>
                </c:pt>
                <c:pt idx="1">
                  <c:v>3</c:v>
                </c:pt>
                <c:pt idx="2">
                  <c:v>5</c:v>
                </c:pt>
                <c:pt idx="3">
                  <c:v>8</c:v>
                </c:pt>
                <c:pt idx="4">
                  <c:v>10</c:v>
                </c:pt>
                <c:pt idx="5">
                  <c:v>13</c:v>
                </c:pt>
                <c:pt idx="6">
                  <c:v>16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</c:numCache>
            </c:numRef>
          </c:xVal>
          <c:yVal>
            <c:numRef>
              <c:f>'BEP-DH_GB'!$R$11:$AC$11</c:f>
              <c:numCache>
                <c:formatCode>0</c:formatCode>
                <c:ptCount val="12"/>
                <c:pt idx="4" formatCode="General">
                  <c:v>100</c:v>
                </c:pt>
                <c:pt idx="5" formatCode="General">
                  <c:v>28</c:v>
                </c:pt>
                <c:pt idx="6" formatCode="General">
                  <c:v>17</c:v>
                </c:pt>
                <c:pt idx="7" formatCode="General">
                  <c:v>11</c:v>
                </c:pt>
                <c:pt idx="8" formatCode="General">
                  <c:v>8</c:v>
                </c:pt>
                <c:pt idx="9" formatCode="General">
                  <c:v>6</c:v>
                </c:pt>
                <c:pt idx="10" formatCode="General">
                  <c:v>5</c:v>
                </c:pt>
                <c:pt idx="11" formatCode="General">
                  <c:v>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4594-4F6E-83C6-8BA963DEEE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9720200"/>
        <c:axId val="1039720528"/>
      </c:scatterChart>
      <c:valAx>
        <c:axId val="1039720200"/>
        <c:scaling>
          <c:orientation val="minMax"/>
          <c:max val="4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1" i="0" u="none" strike="noStrike" kern="1200" baseline="0">
                    <a:solidFill>
                      <a:sysClr val="windowText" lastClr="000000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n-GB"/>
                  <a:t>Number of Connections per Property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1" i="0" u="none" strike="noStrike" kern="1200" baseline="0">
                  <a:solidFill>
                    <a:sysClr val="windowText" lastClr="000000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ysClr val="windowText" lastClr="000000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  <c:crossAx val="1039720528"/>
        <c:crosses val="autoZero"/>
        <c:crossBetween val="midCat"/>
      </c:valAx>
      <c:valAx>
        <c:axId val="10397205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1" i="0" u="none" strike="noStrike" kern="1200" baseline="0">
                    <a:solidFill>
                      <a:sysClr val="windowText" lastClr="000000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n-GB"/>
                  <a:t>Break Even Point (Number of  properties)</a:t>
                </a:r>
              </a:p>
            </c:rich>
          </c:tx>
          <c:layout>
            <c:manualLayout>
              <c:xMode val="edge"/>
              <c:yMode val="edge"/>
              <c:x val="1.0640277777777783E-3"/>
              <c:y val="0.1538883333333333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1" i="0" u="none" strike="noStrike" kern="1200" baseline="0">
                  <a:solidFill>
                    <a:sysClr val="windowText" lastClr="000000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ysClr val="windowText" lastClr="000000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  <c:crossAx val="10397202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2184722222222217"/>
          <c:y val="0.36165888888888886"/>
          <c:w val="0.16756944444444444"/>
          <c:h val="0.3765888888888888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ysClr val="windowText" lastClr="000000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400" b="1">
          <a:solidFill>
            <a:sysClr val="windowText" lastClr="000000"/>
          </a:solidFill>
          <a:latin typeface="Times New Roman" panose="02020603050405020304" pitchFamily="18" charset="0"/>
          <a:cs typeface="Times New Roman" panose="02020603050405020304" pitchFamily="18" charset="0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1" i="0" u="none" strike="noStrike" kern="1200" spc="0" baseline="0">
                <a:solidFill>
                  <a:sysClr val="windowText" lastClr="000000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r>
              <a:rPr lang="en-GB"/>
              <a:t>Energy</a:t>
            </a:r>
            <a:r>
              <a:rPr lang="en-GB" baseline="0"/>
              <a:t> Supply Option Selection Guide</a:t>
            </a:r>
            <a:endParaRPr lang="en-GB"/>
          </a:p>
        </c:rich>
      </c:tx>
      <c:layout>
        <c:manualLayout>
          <c:xMode val="edge"/>
          <c:yMode val="edge"/>
          <c:x val="0.32615962777380092"/>
          <c:y val="1.770807516041695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1" i="0" u="none" strike="noStrike" kern="1200" spc="0" baseline="0">
              <a:solidFill>
                <a:sysClr val="windowText" lastClr="000000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566511111111111"/>
          <c:y val="6.5154722222222225E-2"/>
          <c:w val="0.7093530555555555"/>
          <c:h val="0.79599194444444443"/>
        </c:manualLayout>
      </c:layout>
      <c:barChart>
        <c:barDir val="bar"/>
        <c:grouping val="stacked"/>
        <c:varyColors val="0"/>
        <c:ser>
          <c:idx val="0"/>
          <c:order val="0"/>
          <c:tx>
            <c:strRef>
              <c:f>'BEP Summary'!$K$2</c:f>
              <c:strCache>
                <c:ptCount val="1"/>
                <c:pt idx="0">
                  <c:v>ASHP</c:v>
                </c:pt>
              </c:strCache>
            </c:strRef>
          </c:tx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3"/>
            <c:invertIfNegative val="0"/>
            <c:bubble3D val="0"/>
            <c:spPr>
              <a:gradFill>
                <a:gsLst>
                  <a:gs pos="0">
                    <a:srgbClr val="92D050"/>
                  </a:gs>
                  <a:gs pos="53000">
                    <a:srgbClr val="AEE4B3"/>
                  </a:gs>
                  <a:gs pos="73000">
                    <a:srgbClr val="D8FCE1"/>
                  </a:gs>
                  <a:gs pos="100000">
                    <a:schemeClr val="bg1"/>
                  </a:gs>
                </a:gsLst>
                <a:lin ang="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6-2F9D-4EFD-974F-6ABA2F51A97B}"/>
              </c:ext>
            </c:extLst>
          </c:dPt>
          <c:dPt>
            <c:idx val="4"/>
            <c:invertIfNegative val="0"/>
            <c:bubble3D val="0"/>
            <c:spPr>
              <a:gradFill>
                <a:gsLst>
                  <a:gs pos="0">
                    <a:srgbClr val="92D050"/>
                  </a:gs>
                  <a:gs pos="53000">
                    <a:srgbClr val="AEE4B3"/>
                  </a:gs>
                  <a:gs pos="73000">
                    <a:srgbClr val="D8FCE1"/>
                  </a:gs>
                  <a:gs pos="100000">
                    <a:schemeClr val="bg1"/>
                  </a:gs>
                </a:gsLst>
                <a:lin ang="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2F9D-4EFD-974F-6ABA2F51A97B}"/>
              </c:ext>
            </c:extLst>
          </c:dPt>
          <c:cat>
            <c:multiLvlStrRef>
              <c:f>'BEP Summary'!$I$3:$J$42</c:f>
              <c:multiLvlStrCache>
                <c:ptCount val="40"/>
                <c:lvl>
                  <c:pt idx="0">
                    <c:v> 75 </c:v>
                  </c:pt>
                  <c:pt idx="1">
                    <c:v> 50 </c:v>
                  </c:pt>
                  <c:pt idx="2">
                    <c:v> 35 </c:v>
                  </c:pt>
                  <c:pt idx="3">
                    <c:v> 25 </c:v>
                  </c:pt>
                  <c:pt idx="4">
                    <c:v> 10 </c:v>
                  </c:pt>
                  <c:pt idx="5">
                    <c:v> 75 </c:v>
                  </c:pt>
                  <c:pt idx="6">
                    <c:v> 50 </c:v>
                  </c:pt>
                  <c:pt idx="7">
                    <c:v> 35 </c:v>
                  </c:pt>
                  <c:pt idx="8">
                    <c:v> 25 </c:v>
                  </c:pt>
                  <c:pt idx="9">
                    <c:v> 10 </c:v>
                  </c:pt>
                  <c:pt idx="10">
                    <c:v> 75 </c:v>
                  </c:pt>
                  <c:pt idx="11">
                    <c:v> 50 </c:v>
                  </c:pt>
                  <c:pt idx="12">
                    <c:v> 35 </c:v>
                  </c:pt>
                  <c:pt idx="13">
                    <c:v> 25 </c:v>
                  </c:pt>
                  <c:pt idx="14">
                    <c:v> 10 </c:v>
                  </c:pt>
                  <c:pt idx="15">
                    <c:v> 75 </c:v>
                  </c:pt>
                  <c:pt idx="16">
                    <c:v> 50 </c:v>
                  </c:pt>
                  <c:pt idx="17">
                    <c:v> 35 </c:v>
                  </c:pt>
                  <c:pt idx="18">
                    <c:v> 25 </c:v>
                  </c:pt>
                  <c:pt idx="19">
                    <c:v> 10 </c:v>
                  </c:pt>
                  <c:pt idx="20">
                    <c:v> 75 </c:v>
                  </c:pt>
                  <c:pt idx="21">
                    <c:v> 50 </c:v>
                  </c:pt>
                  <c:pt idx="22">
                    <c:v> 35 </c:v>
                  </c:pt>
                  <c:pt idx="23">
                    <c:v> 25 </c:v>
                  </c:pt>
                  <c:pt idx="24">
                    <c:v> 10 </c:v>
                  </c:pt>
                  <c:pt idx="25">
                    <c:v> 75 </c:v>
                  </c:pt>
                  <c:pt idx="26">
                    <c:v> 50 </c:v>
                  </c:pt>
                  <c:pt idx="27">
                    <c:v> 35 </c:v>
                  </c:pt>
                  <c:pt idx="28">
                    <c:v> 25 </c:v>
                  </c:pt>
                  <c:pt idx="29">
                    <c:v> 10 </c:v>
                  </c:pt>
                  <c:pt idx="30">
                    <c:v> 75 </c:v>
                  </c:pt>
                  <c:pt idx="31">
                    <c:v> 50 </c:v>
                  </c:pt>
                  <c:pt idx="32">
                    <c:v> 35 </c:v>
                  </c:pt>
                  <c:pt idx="33">
                    <c:v> 25 </c:v>
                  </c:pt>
                  <c:pt idx="34">
                    <c:v> 10 </c:v>
                  </c:pt>
                  <c:pt idx="35">
                    <c:v> 75 </c:v>
                  </c:pt>
                  <c:pt idx="36">
                    <c:v> 50 </c:v>
                  </c:pt>
                  <c:pt idx="37">
                    <c:v> 35 </c:v>
                  </c:pt>
                  <c:pt idx="38">
                    <c:v> 25 </c:v>
                  </c:pt>
                  <c:pt idx="39">
                    <c:v> 10 </c:v>
                  </c:pt>
                </c:lvl>
                <c:lvl>
                  <c:pt idx="0">
                    <c:v>1</c:v>
                  </c:pt>
                  <c:pt idx="5">
                    <c:v>3</c:v>
                  </c:pt>
                  <c:pt idx="10">
                    <c:v>5</c:v>
                  </c:pt>
                  <c:pt idx="15">
                    <c:v>8</c:v>
                  </c:pt>
                  <c:pt idx="20">
                    <c:v>10</c:v>
                  </c:pt>
                  <c:pt idx="25">
                    <c:v>13</c:v>
                  </c:pt>
                  <c:pt idx="30">
                    <c:v>16</c:v>
                  </c:pt>
                  <c:pt idx="35">
                    <c:v>20</c:v>
                  </c:pt>
                </c:lvl>
              </c:multiLvlStrCache>
            </c:multiLvlStrRef>
          </c:cat>
          <c:val>
            <c:numRef>
              <c:f>'BEP Summary'!$K$3:$K$42</c:f>
              <c:numCache>
                <c:formatCode>_-* #,##0_-;\-* #,##0_-;_-* "-"??_-;_-@_-</c:formatCode>
                <c:ptCount val="40"/>
                <c:pt idx="0">
                  <c:v>50</c:v>
                </c:pt>
                <c:pt idx="1">
                  <c:v>63</c:v>
                </c:pt>
                <c:pt idx="2">
                  <c:v>106</c:v>
                </c:pt>
                <c:pt idx="3">
                  <c:v>10</c:v>
                </c:pt>
                <c:pt idx="4">
                  <c:v>10</c:v>
                </c:pt>
                <c:pt idx="5">
                  <c:v>19</c:v>
                </c:pt>
                <c:pt idx="6">
                  <c:v>21</c:v>
                </c:pt>
                <c:pt idx="7">
                  <c:v>24</c:v>
                </c:pt>
                <c:pt idx="8">
                  <c:v>29</c:v>
                </c:pt>
                <c:pt idx="9">
                  <c:v>143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18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F9D-4EFD-974F-6ABA2F51A97B}"/>
            </c:ext>
          </c:extLst>
        </c:ser>
        <c:ser>
          <c:idx val="1"/>
          <c:order val="1"/>
          <c:tx>
            <c:strRef>
              <c:f>'BEP Summary'!$L$2</c:f>
              <c:strCache>
                <c:ptCount val="1"/>
                <c:pt idx="0">
                  <c:v>AN</c:v>
                </c:pt>
              </c:strCache>
            </c:strRef>
          </c:tx>
          <c:spPr>
            <a:solidFill>
              <a:srgbClr val="C00000"/>
            </a:solidFill>
            <a:ln>
              <a:noFill/>
            </a:ln>
            <a:effectLst/>
          </c:spPr>
          <c:invertIfNegative val="0"/>
          <c:cat>
            <c:multiLvlStrRef>
              <c:f>'BEP Summary'!$I$3:$J$42</c:f>
              <c:multiLvlStrCache>
                <c:ptCount val="40"/>
                <c:lvl>
                  <c:pt idx="0">
                    <c:v> 75 </c:v>
                  </c:pt>
                  <c:pt idx="1">
                    <c:v> 50 </c:v>
                  </c:pt>
                  <c:pt idx="2">
                    <c:v> 35 </c:v>
                  </c:pt>
                  <c:pt idx="3">
                    <c:v> 25 </c:v>
                  </c:pt>
                  <c:pt idx="4">
                    <c:v> 10 </c:v>
                  </c:pt>
                  <c:pt idx="5">
                    <c:v> 75 </c:v>
                  </c:pt>
                  <c:pt idx="6">
                    <c:v> 50 </c:v>
                  </c:pt>
                  <c:pt idx="7">
                    <c:v> 35 </c:v>
                  </c:pt>
                  <c:pt idx="8">
                    <c:v> 25 </c:v>
                  </c:pt>
                  <c:pt idx="9">
                    <c:v> 10 </c:v>
                  </c:pt>
                  <c:pt idx="10">
                    <c:v> 75 </c:v>
                  </c:pt>
                  <c:pt idx="11">
                    <c:v> 50 </c:v>
                  </c:pt>
                  <c:pt idx="12">
                    <c:v> 35 </c:v>
                  </c:pt>
                  <c:pt idx="13">
                    <c:v> 25 </c:v>
                  </c:pt>
                  <c:pt idx="14">
                    <c:v> 10 </c:v>
                  </c:pt>
                  <c:pt idx="15">
                    <c:v> 75 </c:v>
                  </c:pt>
                  <c:pt idx="16">
                    <c:v> 50 </c:v>
                  </c:pt>
                  <c:pt idx="17">
                    <c:v> 35 </c:v>
                  </c:pt>
                  <c:pt idx="18">
                    <c:v> 25 </c:v>
                  </c:pt>
                  <c:pt idx="19">
                    <c:v> 10 </c:v>
                  </c:pt>
                  <c:pt idx="20">
                    <c:v> 75 </c:v>
                  </c:pt>
                  <c:pt idx="21">
                    <c:v> 50 </c:v>
                  </c:pt>
                  <c:pt idx="22">
                    <c:v> 35 </c:v>
                  </c:pt>
                  <c:pt idx="23">
                    <c:v> 25 </c:v>
                  </c:pt>
                  <c:pt idx="24">
                    <c:v> 10 </c:v>
                  </c:pt>
                  <c:pt idx="25">
                    <c:v> 75 </c:v>
                  </c:pt>
                  <c:pt idx="26">
                    <c:v> 50 </c:v>
                  </c:pt>
                  <c:pt idx="27">
                    <c:v> 35 </c:v>
                  </c:pt>
                  <c:pt idx="28">
                    <c:v> 25 </c:v>
                  </c:pt>
                  <c:pt idx="29">
                    <c:v> 10 </c:v>
                  </c:pt>
                  <c:pt idx="30">
                    <c:v> 75 </c:v>
                  </c:pt>
                  <c:pt idx="31">
                    <c:v> 50 </c:v>
                  </c:pt>
                  <c:pt idx="32">
                    <c:v> 35 </c:v>
                  </c:pt>
                  <c:pt idx="33">
                    <c:v> 25 </c:v>
                  </c:pt>
                  <c:pt idx="34">
                    <c:v> 10 </c:v>
                  </c:pt>
                  <c:pt idx="35">
                    <c:v> 75 </c:v>
                  </c:pt>
                  <c:pt idx="36">
                    <c:v> 50 </c:v>
                  </c:pt>
                  <c:pt idx="37">
                    <c:v> 35 </c:v>
                  </c:pt>
                  <c:pt idx="38">
                    <c:v> 25 </c:v>
                  </c:pt>
                  <c:pt idx="39">
                    <c:v> 10 </c:v>
                  </c:pt>
                </c:lvl>
                <c:lvl>
                  <c:pt idx="0">
                    <c:v>1</c:v>
                  </c:pt>
                  <c:pt idx="5">
                    <c:v>3</c:v>
                  </c:pt>
                  <c:pt idx="10">
                    <c:v>5</c:v>
                  </c:pt>
                  <c:pt idx="15">
                    <c:v>8</c:v>
                  </c:pt>
                  <c:pt idx="20">
                    <c:v>10</c:v>
                  </c:pt>
                  <c:pt idx="25">
                    <c:v>13</c:v>
                  </c:pt>
                  <c:pt idx="30">
                    <c:v>16</c:v>
                  </c:pt>
                  <c:pt idx="35">
                    <c:v>20</c:v>
                  </c:pt>
                </c:lvl>
              </c:multiLvlStrCache>
            </c:multiLvlStrRef>
          </c:cat>
          <c:val>
            <c:numRef>
              <c:f>'BEP Summary'!$L$3:$L$42</c:f>
              <c:numCache>
                <c:formatCode>_-* #,##0_-;\-* #,##0_-;_-* "-"??_-;_-@_-</c:formatCode>
                <c:ptCount val="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29</c:v>
                </c:pt>
                <c:pt idx="11">
                  <c:v>31</c:v>
                </c:pt>
                <c:pt idx="12">
                  <c:v>33</c:v>
                </c:pt>
                <c:pt idx="13">
                  <c:v>35</c:v>
                </c:pt>
                <c:pt idx="14">
                  <c:v>0</c:v>
                </c:pt>
                <c:pt idx="15">
                  <c:v>22</c:v>
                </c:pt>
                <c:pt idx="16">
                  <c:v>23</c:v>
                </c:pt>
                <c:pt idx="17">
                  <c:v>25</c:v>
                </c:pt>
                <c:pt idx="18">
                  <c:v>26</c:v>
                </c:pt>
                <c:pt idx="19">
                  <c:v>33</c:v>
                </c:pt>
                <c:pt idx="20">
                  <c:v>20</c:v>
                </c:pt>
                <c:pt idx="21">
                  <c:v>20</c:v>
                </c:pt>
                <c:pt idx="22">
                  <c:v>21</c:v>
                </c:pt>
                <c:pt idx="23">
                  <c:v>22</c:v>
                </c:pt>
                <c:pt idx="24">
                  <c:v>27</c:v>
                </c:pt>
                <c:pt idx="25">
                  <c:v>16</c:v>
                </c:pt>
                <c:pt idx="26">
                  <c:v>16</c:v>
                </c:pt>
                <c:pt idx="27">
                  <c:v>17</c:v>
                </c:pt>
                <c:pt idx="28">
                  <c:v>18</c:v>
                </c:pt>
                <c:pt idx="29">
                  <c:v>21</c:v>
                </c:pt>
                <c:pt idx="30">
                  <c:v>14</c:v>
                </c:pt>
                <c:pt idx="31">
                  <c:v>14</c:v>
                </c:pt>
                <c:pt idx="32">
                  <c:v>15</c:v>
                </c:pt>
                <c:pt idx="33">
                  <c:v>15</c:v>
                </c:pt>
                <c:pt idx="34">
                  <c:v>17</c:v>
                </c:pt>
                <c:pt idx="35">
                  <c:v>12</c:v>
                </c:pt>
                <c:pt idx="36">
                  <c:v>12</c:v>
                </c:pt>
                <c:pt idx="37">
                  <c:v>12</c:v>
                </c:pt>
                <c:pt idx="38">
                  <c:v>13</c:v>
                </c:pt>
                <c:pt idx="39">
                  <c:v>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F9D-4EFD-974F-6ABA2F51A97B}"/>
            </c:ext>
          </c:extLst>
        </c:ser>
        <c:ser>
          <c:idx val="2"/>
          <c:order val="2"/>
          <c:tx>
            <c:strRef>
              <c:f>'BEP Summary'!$M$2</c:f>
              <c:strCache>
                <c:ptCount val="1"/>
                <c:pt idx="0">
                  <c:v>DH</c:v>
                </c:pt>
              </c:strCache>
            </c:strRef>
          </c:tx>
          <c:spPr>
            <a:gradFill flip="none" rotWithShape="1">
              <a:gsLst>
                <a:gs pos="0">
                  <a:srgbClr val="002060"/>
                </a:gs>
                <a:gs pos="53000">
                  <a:schemeClr val="accent1">
                    <a:lumMod val="45000"/>
                    <a:lumOff val="55000"/>
                  </a:schemeClr>
                </a:gs>
                <a:gs pos="73000">
                  <a:srgbClr val="E1E9F3"/>
                </a:gs>
                <a:gs pos="100000">
                  <a:schemeClr val="bg1"/>
                </a:gs>
              </a:gsLst>
              <a:lin ang="0" scaled="0"/>
              <a:tileRect/>
            </a:gradFill>
            <a:ln>
              <a:noFill/>
            </a:ln>
            <a:effectLst/>
          </c:spPr>
          <c:invertIfNegative val="0"/>
          <c:dPt>
            <c:idx val="3"/>
            <c:invertIfNegative val="0"/>
            <c:bubble3D val="0"/>
            <c:spPr>
              <a:solidFill>
                <a:srgbClr val="92D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2F9D-4EFD-974F-6ABA2F51A97B}"/>
              </c:ext>
            </c:extLst>
          </c:dPt>
          <c:dPt>
            <c:idx val="4"/>
            <c:invertIfNegative val="0"/>
            <c:bubble3D val="0"/>
            <c:spPr>
              <a:solidFill>
                <a:srgbClr val="92D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2F9D-4EFD-974F-6ABA2F51A97B}"/>
              </c:ext>
            </c:extLst>
          </c:dPt>
          <c:cat>
            <c:multiLvlStrRef>
              <c:f>'BEP Summary'!$I$3:$J$42</c:f>
              <c:multiLvlStrCache>
                <c:ptCount val="40"/>
                <c:lvl>
                  <c:pt idx="0">
                    <c:v> 75 </c:v>
                  </c:pt>
                  <c:pt idx="1">
                    <c:v> 50 </c:v>
                  </c:pt>
                  <c:pt idx="2">
                    <c:v> 35 </c:v>
                  </c:pt>
                  <c:pt idx="3">
                    <c:v> 25 </c:v>
                  </c:pt>
                  <c:pt idx="4">
                    <c:v> 10 </c:v>
                  </c:pt>
                  <c:pt idx="5">
                    <c:v> 75 </c:v>
                  </c:pt>
                  <c:pt idx="6">
                    <c:v> 50 </c:v>
                  </c:pt>
                  <c:pt idx="7">
                    <c:v> 35 </c:v>
                  </c:pt>
                  <c:pt idx="8">
                    <c:v> 25 </c:v>
                  </c:pt>
                  <c:pt idx="9">
                    <c:v> 10 </c:v>
                  </c:pt>
                  <c:pt idx="10">
                    <c:v> 75 </c:v>
                  </c:pt>
                  <c:pt idx="11">
                    <c:v> 50 </c:v>
                  </c:pt>
                  <c:pt idx="12">
                    <c:v> 35 </c:v>
                  </c:pt>
                  <c:pt idx="13">
                    <c:v> 25 </c:v>
                  </c:pt>
                  <c:pt idx="14">
                    <c:v> 10 </c:v>
                  </c:pt>
                  <c:pt idx="15">
                    <c:v> 75 </c:v>
                  </c:pt>
                  <c:pt idx="16">
                    <c:v> 50 </c:v>
                  </c:pt>
                  <c:pt idx="17">
                    <c:v> 35 </c:v>
                  </c:pt>
                  <c:pt idx="18">
                    <c:v> 25 </c:v>
                  </c:pt>
                  <c:pt idx="19">
                    <c:v> 10 </c:v>
                  </c:pt>
                  <c:pt idx="20">
                    <c:v> 75 </c:v>
                  </c:pt>
                  <c:pt idx="21">
                    <c:v> 50 </c:v>
                  </c:pt>
                  <c:pt idx="22">
                    <c:v> 35 </c:v>
                  </c:pt>
                  <c:pt idx="23">
                    <c:v> 25 </c:v>
                  </c:pt>
                  <c:pt idx="24">
                    <c:v> 10 </c:v>
                  </c:pt>
                  <c:pt idx="25">
                    <c:v> 75 </c:v>
                  </c:pt>
                  <c:pt idx="26">
                    <c:v> 50 </c:v>
                  </c:pt>
                  <c:pt idx="27">
                    <c:v> 35 </c:v>
                  </c:pt>
                  <c:pt idx="28">
                    <c:v> 25 </c:v>
                  </c:pt>
                  <c:pt idx="29">
                    <c:v> 10 </c:v>
                  </c:pt>
                  <c:pt idx="30">
                    <c:v> 75 </c:v>
                  </c:pt>
                  <c:pt idx="31">
                    <c:v> 50 </c:v>
                  </c:pt>
                  <c:pt idx="32">
                    <c:v> 35 </c:v>
                  </c:pt>
                  <c:pt idx="33">
                    <c:v> 25 </c:v>
                  </c:pt>
                  <c:pt idx="34">
                    <c:v> 10 </c:v>
                  </c:pt>
                  <c:pt idx="35">
                    <c:v> 75 </c:v>
                  </c:pt>
                  <c:pt idx="36">
                    <c:v> 50 </c:v>
                  </c:pt>
                  <c:pt idx="37">
                    <c:v> 35 </c:v>
                  </c:pt>
                  <c:pt idx="38">
                    <c:v> 25 </c:v>
                  </c:pt>
                  <c:pt idx="39">
                    <c:v> 10 </c:v>
                  </c:pt>
                </c:lvl>
                <c:lvl>
                  <c:pt idx="0">
                    <c:v>1</c:v>
                  </c:pt>
                  <c:pt idx="5">
                    <c:v>3</c:v>
                  </c:pt>
                  <c:pt idx="10">
                    <c:v>5</c:v>
                  </c:pt>
                  <c:pt idx="15">
                    <c:v>8</c:v>
                  </c:pt>
                  <c:pt idx="20">
                    <c:v>10</c:v>
                  </c:pt>
                  <c:pt idx="25">
                    <c:v>13</c:v>
                  </c:pt>
                  <c:pt idx="30">
                    <c:v>16</c:v>
                  </c:pt>
                  <c:pt idx="35">
                    <c:v>20</c:v>
                  </c:pt>
                </c:lvl>
              </c:multiLvlStrCache>
            </c:multiLvlStrRef>
          </c:cat>
          <c:val>
            <c:numRef>
              <c:f>'BEP Summary'!$M$3:$M$42</c:f>
              <c:numCache>
                <c:formatCode>_-* #,##0_-;\-* #,##0_-;_-* "-"??_-;_-@_-</c:formatCode>
                <c:ptCount val="40"/>
                <c:pt idx="0">
                  <c:v>10</c:v>
                </c:pt>
                <c:pt idx="1">
                  <c:v>10</c:v>
                </c:pt>
                <c:pt idx="2">
                  <c:v>10</c:v>
                </c:pt>
                <c:pt idx="3">
                  <c:v>0</c:v>
                </c:pt>
                <c:pt idx="4">
                  <c:v>0</c:v>
                </c:pt>
                <c:pt idx="5">
                  <c:v>10</c:v>
                </c:pt>
                <c:pt idx="6">
                  <c:v>10</c:v>
                </c:pt>
                <c:pt idx="7">
                  <c:v>10</c:v>
                </c:pt>
                <c:pt idx="8">
                  <c:v>10</c:v>
                </c:pt>
                <c:pt idx="9">
                  <c:v>10</c:v>
                </c:pt>
                <c:pt idx="10">
                  <c:v>10</c:v>
                </c:pt>
                <c:pt idx="11">
                  <c:v>10</c:v>
                </c:pt>
                <c:pt idx="12">
                  <c:v>10</c:v>
                </c:pt>
                <c:pt idx="13">
                  <c:v>10</c:v>
                </c:pt>
                <c:pt idx="14">
                  <c:v>10</c:v>
                </c:pt>
                <c:pt idx="15">
                  <c:v>10</c:v>
                </c:pt>
                <c:pt idx="16">
                  <c:v>10</c:v>
                </c:pt>
                <c:pt idx="17">
                  <c:v>10</c:v>
                </c:pt>
                <c:pt idx="18">
                  <c:v>10</c:v>
                </c:pt>
                <c:pt idx="19">
                  <c:v>10</c:v>
                </c:pt>
                <c:pt idx="20">
                  <c:v>10</c:v>
                </c:pt>
                <c:pt idx="21">
                  <c:v>10</c:v>
                </c:pt>
                <c:pt idx="22">
                  <c:v>10</c:v>
                </c:pt>
                <c:pt idx="23">
                  <c:v>10</c:v>
                </c:pt>
                <c:pt idx="24">
                  <c:v>10</c:v>
                </c:pt>
                <c:pt idx="25">
                  <c:v>10</c:v>
                </c:pt>
                <c:pt idx="26">
                  <c:v>10</c:v>
                </c:pt>
                <c:pt idx="27">
                  <c:v>10</c:v>
                </c:pt>
                <c:pt idx="28">
                  <c:v>10</c:v>
                </c:pt>
                <c:pt idx="29">
                  <c:v>10</c:v>
                </c:pt>
                <c:pt idx="30">
                  <c:v>10</c:v>
                </c:pt>
                <c:pt idx="31">
                  <c:v>10</c:v>
                </c:pt>
                <c:pt idx="32">
                  <c:v>10</c:v>
                </c:pt>
                <c:pt idx="33">
                  <c:v>10</c:v>
                </c:pt>
                <c:pt idx="34">
                  <c:v>10</c:v>
                </c:pt>
                <c:pt idx="35">
                  <c:v>10</c:v>
                </c:pt>
                <c:pt idx="36">
                  <c:v>10</c:v>
                </c:pt>
                <c:pt idx="37">
                  <c:v>10</c:v>
                </c:pt>
                <c:pt idx="38">
                  <c:v>10</c:v>
                </c:pt>
                <c:pt idx="39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F9D-4EFD-974F-6ABA2F51A9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845713200"/>
        <c:axId val="845711888"/>
      </c:barChart>
      <c:catAx>
        <c:axId val="845713200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ysClr val="windowText" lastClr="000000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n-GB"/>
                  <a:t>Number of</a:t>
                </a:r>
                <a:r>
                  <a:rPr lang="en-GB" baseline="0"/>
                  <a:t> Connections  </a:t>
                </a:r>
              </a:p>
              <a:p>
                <a:pPr>
                  <a:defRPr/>
                </a:pPr>
                <a:r>
                  <a:rPr lang="en-GB" baseline="0"/>
                  <a:t>Density (Properties per Hectare)</a:t>
                </a:r>
                <a:endParaRPr lang="en-GB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ysClr val="windowText" lastClr="000000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ysClr val="windowText" lastClr="000000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  <c:crossAx val="845711888"/>
        <c:crosses val="autoZero"/>
        <c:auto val="1"/>
        <c:lblAlgn val="ctr"/>
        <c:lblOffset val="100"/>
        <c:noMultiLvlLbl val="0"/>
      </c:catAx>
      <c:valAx>
        <c:axId val="845711888"/>
        <c:scaling>
          <c:orientation val="minMax"/>
          <c:max val="16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ysClr val="windowText" lastClr="000000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n-GB"/>
                  <a:t>Number of properties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ysClr val="windowText" lastClr="000000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en-US"/>
            </a:p>
          </c:txPr>
        </c:title>
        <c:numFmt formatCode="_-* #,##0_-;\-* #,##0_-;_-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ysClr val="windowText" lastClr="000000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  <c:crossAx val="845713200"/>
        <c:crosses val="autoZero"/>
        <c:crossBetween val="between"/>
        <c:majorUnit val="10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ysClr val="windowText" lastClr="000000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 b="1">
          <a:solidFill>
            <a:sysClr val="windowText" lastClr="000000"/>
          </a:solidFill>
          <a:latin typeface="Times New Roman" panose="02020603050405020304" pitchFamily="18" charset="0"/>
          <a:cs typeface="Times New Roman" panose="02020603050405020304" pitchFamily="18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>
              <a:defRPr sz="1440" b="1" i="0" u="none" strike="noStrike" kern="1200" spc="0" baseline="0">
                <a:solidFill>
                  <a:sysClr val="windowText" lastClr="000000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r>
              <a:rPr lang="en-GB"/>
              <a:t>Energy</a:t>
            </a:r>
            <a:r>
              <a:rPr lang="en-GB" baseline="0"/>
              <a:t> Supply Option Selection Guide (ASHP)</a:t>
            </a:r>
            <a:endParaRPr lang="en-GB"/>
          </a:p>
        </c:rich>
      </c:tx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>
            <a:defRPr sz="1440" b="1" i="0" u="none" strike="noStrike" kern="1200" spc="0" baseline="0">
              <a:solidFill>
                <a:sysClr val="windowText" lastClr="000000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1079"/>
          <c:y val="9.6904722222222239E-2"/>
          <c:w val="0.77108916666666671"/>
          <c:h val="0.62077916666666655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'BEP Summary'!$K$2</c:f>
              <c:strCache>
                <c:ptCount val="1"/>
                <c:pt idx="0">
                  <c:v>ASHP</c:v>
                </c:pt>
              </c:strCache>
            </c:strRef>
          </c:tx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3"/>
            <c:invertIfNegative val="0"/>
            <c:bubble3D val="0"/>
            <c:spPr>
              <a:gradFill>
                <a:gsLst>
                  <a:gs pos="0">
                    <a:srgbClr val="92D050"/>
                  </a:gs>
                  <a:gs pos="53000">
                    <a:srgbClr val="AEE4B3"/>
                  </a:gs>
                  <a:gs pos="73000">
                    <a:srgbClr val="D8FCE1"/>
                  </a:gs>
                  <a:gs pos="100000">
                    <a:schemeClr val="bg1"/>
                  </a:gs>
                </a:gsLst>
                <a:lin ang="162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3966-4356-92F0-3E546814BEAF}"/>
              </c:ext>
            </c:extLst>
          </c:dPt>
          <c:dPt>
            <c:idx val="4"/>
            <c:invertIfNegative val="0"/>
            <c:bubble3D val="0"/>
            <c:spPr>
              <a:gradFill>
                <a:gsLst>
                  <a:gs pos="0">
                    <a:srgbClr val="92D050"/>
                  </a:gs>
                  <a:gs pos="53000">
                    <a:srgbClr val="AEE4B3"/>
                  </a:gs>
                  <a:gs pos="73000">
                    <a:srgbClr val="D8FCE1"/>
                  </a:gs>
                  <a:gs pos="100000">
                    <a:schemeClr val="bg1"/>
                  </a:gs>
                </a:gsLst>
                <a:lin ang="162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3966-4356-92F0-3E546814BEAF}"/>
              </c:ext>
            </c:extLst>
          </c:dPt>
          <c:cat>
            <c:multiLvlStrRef>
              <c:f>'BEP Summary'!$I$3:$J$42</c:f>
              <c:multiLvlStrCache>
                <c:ptCount val="40"/>
                <c:lvl>
                  <c:pt idx="0">
                    <c:v> 75 </c:v>
                  </c:pt>
                  <c:pt idx="1">
                    <c:v> 50 </c:v>
                  </c:pt>
                  <c:pt idx="2">
                    <c:v> 35 </c:v>
                  </c:pt>
                  <c:pt idx="3">
                    <c:v> 25 </c:v>
                  </c:pt>
                  <c:pt idx="4">
                    <c:v> 10 </c:v>
                  </c:pt>
                  <c:pt idx="5">
                    <c:v> 75 </c:v>
                  </c:pt>
                  <c:pt idx="6">
                    <c:v> 50 </c:v>
                  </c:pt>
                  <c:pt idx="7">
                    <c:v> 35 </c:v>
                  </c:pt>
                  <c:pt idx="8">
                    <c:v> 25 </c:v>
                  </c:pt>
                  <c:pt idx="9">
                    <c:v> 10 </c:v>
                  </c:pt>
                  <c:pt idx="10">
                    <c:v> 75 </c:v>
                  </c:pt>
                  <c:pt idx="11">
                    <c:v> 50 </c:v>
                  </c:pt>
                  <c:pt idx="12">
                    <c:v> 35 </c:v>
                  </c:pt>
                  <c:pt idx="13">
                    <c:v> 25 </c:v>
                  </c:pt>
                  <c:pt idx="14">
                    <c:v> 10 </c:v>
                  </c:pt>
                  <c:pt idx="15">
                    <c:v> 75 </c:v>
                  </c:pt>
                  <c:pt idx="16">
                    <c:v> 50 </c:v>
                  </c:pt>
                  <c:pt idx="17">
                    <c:v> 35 </c:v>
                  </c:pt>
                  <c:pt idx="18">
                    <c:v> 25 </c:v>
                  </c:pt>
                  <c:pt idx="19">
                    <c:v> 10 </c:v>
                  </c:pt>
                  <c:pt idx="20">
                    <c:v> 75 </c:v>
                  </c:pt>
                  <c:pt idx="21">
                    <c:v> 50 </c:v>
                  </c:pt>
                  <c:pt idx="22">
                    <c:v> 35 </c:v>
                  </c:pt>
                  <c:pt idx="23">
                    <c:v> 25 </c:v>
                  </c:pt>
                  <c:pt idx="24">
                    <c:v> 10 </c:v>
                  </c:pt>
                  <c:pt idx="25">
                    <c:v> 75 </c:v>
                  </c:pt>
                  <c:pt idx="26">
                    <c:v> 50 </c:v>
                  </c:pt>
                  <c:pt idx="27">
                    <c:v> 35 </c:v>
                  </c:pt>
                  <c:pt idx="28">
                    <c:v> 25 </c:v>
                  </c:pt>
                  <c:pt idx="29">
                    <c:v> 10 </c:v>
                  </c:pt>
                  <c:pt idx="30">
                    <c:v> 75 </c:v>
                  </c:pt>
                  <c:pt idx="31">
                    <c:v> 50 </c:v>
                  </c:pt>
                  <c:pt idx="32">
                    <c:v> 35 </c:v>
                  </c:pt>
                  <c:pt idx="33">
                    <c:v> 25 </c:v>
                  </c:pt>
                  <c:pt idx="34">
                    <c:v> 10 </c:v>
                  </c:pt>
                  <c:pt idx="35">
                    <c:v> 75 </c:v>
                  </c:pt>
                  <c:pt idx="36">
                    <c:v> 50 </c:v>
                  </c:pt>
                  <c:pt idx="37">
                    <c:v> 35 </c:v>
                  </c:pt>
                  <c:pt idx="38">
                    <c:v> 25 </c:v>
                  </c:pt>
                  <c:pt idx="39">
                    <c:v> 10 </c:v>
                  </c:pt>
                </c:lvl>
                <c:lvl>
                  <c:pt idx="0">
                    <c:v>1</c:v>
                  </c:pt>
                  <c:pt idx="5">
                    <c:v>3</c:v>
                  </c:pt>
                  <c:pt idx="10">
                    <c:v>5</c:v>
                  </c:pt>
                  <c:pt idx="15">
                    <c:v>8</c:v>
                  </c:pt>
                  <c:pt idx="20">
                    <c:v>10</c:v>
                  </c:pt>
                  <c:pt idx="25">
                    <c:v>13</c:v>
                  </c:pt>
                  <c:pt idx="30">
                    <c:v>16</c:v>
                  </c:pt>
                  <c:pt idx="35">
                    <c:v>20</c:v>
                  </c:pt>
                </c:lvl>
              </c:multiLvlStrCache>
            </c:multiLvlStrRef>
          </c:cat>
          <c:val>
            <c:numRef>
              <c:f>'BEP Summary'!$K$3:$K$42</c:f>
              <c:numCache>
                <c:formatCode>_-* #,##0_-;\-* #,##0_-;_-* "-"??_-;_-@_-</c:formatCode>
                <c:ptCount val="40"/>
                <c:pt idx="0">
                  <c:v>50</c:v>
                </c:pt>
                <c:pt idx="1">
                  <c:v>63</c:v>
                </c:pt>
                <c:pt idx="2">
                  <c:v>106</c:v>
                </c:pt>
                <c:pt idx="3">
                  <c:v>10</c:v>
                </c:pt>
                <c:pt idx="4">
                  <c:v>10</c:v>
                </c:pt>
                <c:pt idx="5">
                  <c:v>19</c:v>
                </c:pt>
                <c:pt idx="6">
                  <c:v>21</c:v>
                </c:pt>
                <c:pt idx="7">
                  <c:v>24</c:v>
                </c:pt>
                <c:pt idx="8">
                  <c:v>29</c:v>
                </c:pt>
                <c:pt idx="9">
                  <c:v>143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18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966-4356-92F0-3E546814BEAF}"/>
            </c:ext>
          </c:extLst>
        </c:ser>
        <c:ser>
          <c:idx val="1"/>
          <c:order val="1"/>
          <c:tx>
            <c:strRef>
              <c:f>'BEP Summary'!$L$2</c:f>
              <c:strCache>
                <c:ptCount val="1"/>
                <c:pt idx="0">
                  <c:v>AN</c:v>
                </c:pt>
              </c:strCache>
            </c:strRef>
          </c:tx>
          <c:spPr>
            <a:solidFill>
              <a:srgbClr val="C00000"/>
            </a:solidFill>
            <a:ln>
              <a:noFill/>
            </a:ln>
            <a:effectLst/>
          </c:spPr>
          <c:invertIfNegative val="0"/>
          <c:cat>
            <c:multiLvlStrRef>
              <c:f>'BEP Summary'!$I$3:$J$42</c:f>
              <c:multiLvlStrCache>
                <c:ptCount val="40"/>
                <c:lvl>
                  <c:pt idx="0">
                    <c:v> 75 </c:v>
                  </c:pt>
                  <c:pt idx="1">
                    <c:v> 50 </c:v>
                  </c:pt>
                  <c:pt idx="2">
                    <c:v> 35 </c:v>
                  </c:pt>
                  <c:pt idx="3">
                    <c:v> 25 </c:v>
                  </c:pt>
                  <c:pt idx="4">
                    <c:v> 10 </c:v>
                  </c:pt>
                  <c:pt idx="5">
                    <c:v> 75 </c:v>
                  </c:pt>
                  <c:pt idx="6">
                    <c:v> 50 </c:v>
                  </c:pt>
                  <c:pt idx="7">
                    <c:v> 35 </c:v>
                  </c:pt>
                  <c:pt idx="8">
                    <c:v> 25 </c:v>
                  </c:pt>
                  <c:pt idx="9">
                    <c:v> 10 </c:v>
                  </c:pt>
                  <c:pt idx="10">
                    <c:v> 75 </c:v>
                  </c:pt>
                  <c:pt idx="11">
                    <c:v> 50 </c:v>
                  </c:pt>
                  <c:pt idx="12">
                    <c:v> 35 </c:v>
                  </c:pt>
                  <c:pt idx="13">
                    <c:v> 25 </c:v>
                  </c:pt>
                  <c:pt idx="14">
                    <c:v> 10 </c:v>
                  </c:pt>
                  <c:pt idx="15">
                    <c:v> 75 </c:v>
                  </c:pt>
                  <c:pt idx="16">
                    <c:v> 50 </c:v>
                  </c:pt>
                  <c:pt idx="17">
                    <c:v> 35 </c:v>
                  </c:pt>
                  <c:pt idx="18">
                    <c:v> 25 </c:v>
                  </c:pt>
                  <c:pt idx="19">
                    <c:v> 10 </c:v>
                  </c:pt>
                  <c:pt idx="20">
                    <c:v> 75 </c:v>
                  </c:pt>
                  <c:pt idx="21">
                    <c:v> 50 </c:v>
                  </c:pt>
                  <c:pt idx="22">
                    <c:v> 35 </c:v>
                  </c:pt>
                  <c:pt idx="23">
                    <c:v> 25 </c:v>
                  </c:pt>
                  <c:pt idx="24">
                    <c:v> 10 </c:v>
                  </c:pt>
                  <c:pt idx="25">
                    <c:v> 75 </c:v>
                  </c:pt>
                  <c:pt idx="26">
                    <c:v> 50 </c:v>
                  </c:pt>
                  <c:pt idx="27">
                    <c:v> 35 </c:v>
                  </c:pt>
                  <c:pt idx="28">
                    <c:v> 25 </c:v>
                  </c:pt>
                  <c:pt idx="29">
                    <c:v> 10 </c:v>
                  </c:pt>
                  <c:pt idx="30">
                    <c:v> 75 </c:v>
                  </c:pt>
                  <c:pt idx="31">
                    <c:v> 50 </c:v>
                  </c:pt>
                  <c:pt idx="32">
                    <c:v> 35 </c:v>
                  </c:pt>
                  <c:pt idx="33">
                    <c:v> 25 </c:v>
                  </c:pt>
                  <c:pt idx="34">
                    <c:v> 10 </c:v>
                  </c:pt>
                  <c:pt idx="35">
                    <c:v> 75 </c:v>
                  </c:pt>
                  <c:pt idx="36">
                    <c:v> 50 </c:v>
                  </c:pt>
                  <c:pt idx="37">
                    <c:v> 35 </c:v>
                  </c:pt>
                  <c:pt idx="38">
                    <c:v> 25 </c:v>
                  </c:pt>
                  <c:pt idx="39">
                    <c:v> 10 </c:v>
                  </c:pt>
                </c:lvl>
                <c:lvl>
                  <c:pt idx="0">
                    <c:v>1</c:v>
                  </c:pt>
                  <c:pt idx="5">
                    <c:v>3</c:v>
                  </c:pt>
                  <c:pt idx="10">
                    <c:v>5</c:v>
                  </c:pt>
                  <c:pt idx="15">
                    <c:v>8</c:v>
                  </c:pt>
                  <c:pt idx="20">
                    <c:v>10</c:v>
                  </c:pt>
                  <c:pt idx="25">
                    <c:v>13</c:v>
                  </c:pt>
                  <c:pt idx="30">
                    <c:v>16</c:v>
                  </c:pt>
                  <c:pt idx="35">
                    <c:v>20</c:v>
                  </c:pt>
                </c:lvl>
              </c:multiLvlStrCache>
            </c:multiLvlStrRef>
          </c:cat>
          <c:val>
            <c:numRef>
              <c:f>'BEP Summary'!$L$3:$L$42</c:f>
              <c:numCache>
                <c:formatCode>_-* #,##0_-;\-* #,##0_-;_-* "-"??_-;_-@_-</c:formatCode>
                <c:ptCount val="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29</c:v>
                </c:pt>
                <c:pt idx="11">
                  <c:v>31</c:v>
                </c:pt>
                <c:pt idx="12">
                  <c:v>33</c:v>
                </c:pt>
                <c:pt idx="13">
                  <c:v>35</c:v>
                </c:pt>
                <c:pt idx="14">
                  <c:v>0</c:v>
                </c:pt>
                <c:pt idx="15">
                  <c:v>22</c:v>
                </c:pt>
                <c:pt idx="16">
                  <c:v>23</c:v>
                </c:pt>
                <c:pt idx="17">
                  <c:v>25</c:v>
                </c:pt>
                <c:pt idx="18">
                  <c:v>26</c:v>
                </c:pt>
                <c:pt idx="19">
                  <c:v>33</c:v>
                </c:pt>
                <c:pt idx="20">
                  <c:v>20</c:v>
                </c:pt>
                <c:pt idx="21">
                  <c:v>20</c:v>
                </c:pt>
                <c:pt idx="22">
                  <c:v>21</c:v>
                </c:pt>
                <c:pt idx="23">
                  <c:v>22</c:v>
                </c:pt>
                <c:pt idx="24">
                  <c:v>27</c:v>
                </c:pt>
                <c:pt idx="25">
                  <c:v>16</c:v>
                </c:pt>
                <c:pt idx="26">
                  <c:v>16</c:v>
                </c:pt>
                <c:pt idx="27">
                  <c:v>17</c:v>
                </c:pt>
                <c:pt idx="28">
                  <c:v>18</c:v>
                </c:pt>
                <c:pt idx="29">
                  <c:v>21</c:v>
                </c:pt>
                <c:pt idx="30">
                  <c:v>14</c:v>
                </c:pt>
                <c:pt idx="31">
                  <c:v>14</c:v>
                </c:pt>
                <c:pt idx="32">
                  <c:v>15</c:v>
                </c:pt>
                <c:pt idx="33">
                  <c:v>15</c:v>
                </c:pt>
                <c:pt idx="34">
                  <c:v>17</c:v>
                </c:pt>
                <c:pt idx="35">
                  <c:v>12</c:v>
                </c:pt>
                <c:pt idx="36">
                  <c:v>12</c:v>
                </c:pt>
                <c:pt idx="37">
                  <c:v>12</c:v>
                </c:pt>
                <c:pt idx="38">
                  <c:v>13</c:v>
                </c:pt>
                <c:pt idx="39">
                  <c:v>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966-4356-92F0-3E546814BEAF}"/>
            </c:ext>
          </c:extLst>
        </c:ser>
        <c:ser>
          <c:idx val="2"/>
          <c:order val="2"/>
          <c:tx>
            <c:strRef>
              <c:f>'BEP Summary'!$M$2</c:f>
              <c:strCache>
                <c:ptCount val="1"/>
                <c:pt idx="0">
                  <c:v>DH</c:v>
                </c:pt>
              </c:strCache>
            </c:strRef>
          </c:tx>
          <c:spPr>
            <a:gradFill flip="none" rotWithShape="1">
              <a:gsLst>
                <a:gs pos="0">
                  <a:srgbClr val="002060"/>
                </a:gs>
                <a:gs pos="53000">
                  <a:schemeClr val="accent1">
                    <a:lumMod val="45000"/>
                    <a:lumOff val="55000"/>
                  </a:schemeClr>
                </a:gs>
                <a:gs pos="73000">
                  <a:srgbClr val="E1E9F3"/>
                </a:gs>
                <a:gs pos="100000">
                  <a:schemeClr val="bg1"/>
                </a:gs>
              </a:gsLst>
              <a:lin ang="16200000" scaled="0"/>
              <a:tileRect/>
            </a:gradFill>
            <a:ln>
              <a:noFill/>
            </a:ln>
            <a:effectLst/>
          </c:spPr>
          <c:invertIfNegative val="0"/>
          <c:dPt>
            <c:idx val="3"/>
            <c:invertIfNegative val="0"/>
            <c:bubble3D val="0"/>
            <c:spPr>
              <a:gradFill>
                <a:lin ang="162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3966-4356-92F0-3E546814BEAF}"/>
              </c:ext>
            </c:extLst>
          </c:dPt>
          <c:dPt>
            <c:idx val="4"/>
            <c:invertIfNegative val="0"/>
            <c:bubble3D val="0"/>
            <c:spPr>
              <a:gradFill>
                <a:lin ang="162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3966-4356-92F0-3E546814BEAF}"/>
              </c:ext>
            </c:extLst>
          </c:dPt>
          <c:cat>
            <c:multiLvlStrRef>
              <c:f>'BEP Summary'!$I$3:$J$42</c:f>
              <c:multiLvlStrCache>
                <c:ptCount val="40"/>
                <c:lvl>
                  <c:pt idx="0">
                    <c:v> 75 </c:v>
                  </c:pt>
                  <c:pt idx="1">
                    <c:v> 50 </c:v>
                  </c:pt>
                  <c:pt idx="2">
                    <c:v> 35 </c:v>
                  </c:pt>
                  <c:pt idx="3">
                    <c:v> 25 </c:v>
                  </c:pt>
                  <c:pt idx="4">
                    <c:v> 10 </c:v>
                  </c:pt>
                  <c:pt idx="5">
                    <c:v> 75 </c:v>
                  </c:pt>
                  <c:pt idx="6">
                    <c:v> 50 </c:v>
                  </c:pt>
                  <c:pt idx="7">
                    <c:v> 35 </c:v>
                  </c:pt>
                  <c:pt idx="8">
                    <c:v> 25 </c:v>
                  </c:pt>
                  <c:pt idx="9">
                    <c:v> 10 </c:v>
                  </c:pt>
                  <c:pt idx="10">
                    <c:v> 75 </c:v>
                  </c:pt>
                  <c:pt idx="11">
                    <c:v> 50 </c:v>
                  </c:pt>
                  <c:pt idx="12">
                    <c:v> 35 </c:v>
                  </c:pt>
                  <c:pt idx="13">
                    <c:v> 25 </c:v>
                  </c:pt>
                  <c:pt idx="14">
                    <c:v> 10 </c:v>
                  </c:pt>
                  <c:pt idx="15">
                    <c:v> 75 </c:v>
                  </c:pt>
                  <c:pt idx="16">
                    <c:v> 50 </c:v>
                  </c:pt>
                  <c:pt idx="17">
                    <c:v> 35 </c:v>
                  </c:pt>
                  <c:pt idx="18">
                    <c:v> 25 </c:v>
                  </c:pt>
                  <c:pt idx="19">
                    <c:v> 10 </c:v>
                  </c:pt>
                  <c:pt idx="20">
                    <c:v> 75 </c:v>
                  </c:pt>
                  <c:pt idx="21">
                    <c:v> 50 </c:v>
                  </c:pt>
                  <c:pt idx="22">
                    <c:v> 35 </c:v>
                  </c:pt>
                  <c:pt idx="23">
                    <c:v> 25 </c:v>
                  </c:pt>
                  <c:pt idx="24">
                    <c:v> 10 </c:v>
                  </c:pt>
                  <c:pt idx="25">
                    <c:v> 75 </c:v>
                  </c:pt>
                  <c:pt idx="26">
                    <c:v> 50 </c:v>
                  </c:pt>
                  <c:pt idx="27">
                    <c:v> 35 </c:v>
                  </c:pt>
                  <c:pt idx="28">
                    <c:v> 25 </c:v>
                  </c:pt>
                  <c:pt idx="29">
                    <c:v> 10 </c:v>
                  </c:pt>
                  <c:pt idx="30">
                    <c:v> 75 </c:v>
                  </c:pt>
                  <c:pt idx="31">
                    <c:v> 50 </c:v>
                  </c:pt>
                  <c:pt idx="32">
                    <c:v> 35 </c:v>
                  </c:pt>
                  <c:pt idx="33">
                    <c:v> 25 </c:v>
                  </c:pt>
                  <c:pt idx="34">
                    <c:v> 10 </c:v>
                  </c:pt>
                  <c:pt idx="35">
                    <c:v> 75 </c:v>
                  </c:pt>
                  <c:pt idx="36">
                    <c:v> 50 </c:v>
                  </c:pt>
                  <c:pt idx="37">
                    <c:v> 35 </c:v>
                  </c:pt>
                  <c:pt idx="38">
                    <c:v> 25 </c:v>
                  </c:pt>
                  <c:pt idx="39">
                    <c:v> 10 </c:v>
                  </c:pt>
                </c:lvl>
                <c:lvl>
                  <c:pt idx="0">
                    <c:v>1</c:v>
                  </c:pt>
                  <c:pt idx="5">
                    <c:v>3</c:v>
                  </c:pt>
                  <c:pt idx="10">
                    <c:v>5</c:v>
                  </c:pt>
                  <c:pt idx="15">
                    <c:v>8</c:v>
                  </c:pt>
                  <c:pt idx="20">
                    <c:v>10</c:v>
                  </c:pt>
                  <c:pt idx="25">
                    <c:v>13</c:v>
                  </c:pt>
                  <c:pt idx="30">
                    <c:v>16</c:v>
                  </c:pt>
                  <c:pt idx="35">
                    <c:v>20</c:v>
                  </c:pt>
                </c:lvl>
              </c:multiLvlStrCache>
            </c:multiLvlStrRef>
          </c:cat>
          <c:val>
            <c:numRef>
              <c:f>'BEP Summary'!$M$3:$M$42</c:f>
              <c:numCache>
                <c:formatCode>_-* #,##0_-;\-* #,##0_-;_-* "-"??_-;_-@_-</c:formatCode>
                <c:ptCount val="40"/>
                <c:pt idx="0">
                  <c:v>10</c:v>
                </c:pt>
                <c:pt idx="1">
                  <c:v>10</c:v>
                </c:pt>
                <c:pt idx="2">
                  <c:v>10</c:v>
                </c:pt>
                <c:pt idx="3">
                  <c:v>0</c:v>
                </c:pt>
                <c:pt idx="4">
                  <c:v>0</c:v>
                </c:pt>
                <c:pt idx="5">
                  <c:v>10</c:v>
                </c:pt>
                <c:pt idx="6">
                  <c:v>10</c:v>
                </c:pt>
                <c:pt idx="7">
                  <c:v>10</c:v>
                </c:pt>
                <c:pt idx="8">
                  <c:v>10</c:v>
                </c:pt>
                <c:pt idx="9">
                  <c:v>10</c:v>
                </c:pt>
                <c:pt idx="10">
                  <c:v>10</c:v>
                </c:pt>
                <c:pt idx="11">
                  <c:v>10</c:v>
                </c:pt>
                <c:pt idx="12">
                  <c:v>10</c:v>
                </c:pt>
                <c:pt idx="13">
                  <c:v>10</c:v>
                </c:pt>
                <c:pt idx="14">
                  <c:v>10</c:v>
                </c:pt>
                <c:pt idx="15">
                  <c:v>10</c:v>
                </c:pt>
                <c:pt idx="16">
                  <c:v>10</c:v>
                </c:pt>
                <c:pt idx="17">
                  <c:v>10</c:v>
                </c:pt>
                <c:pt idx="18">
                  <c:v>10</c:v>
                </c:pt>
                <c:pt idx="19">
                  <c:v>10</c:v>
                </c:pt>
                <c:pt idx="20">
                  <c:v>10</c:v>
                </c:pt>
                <c:pt idx="21">
                  <c:v>10</c:v>
                </c:pt>
                <c:pt idx="22">
                  <c:v>10</c:v>
                </c:pt>
                <c:pt idx="23">
                  <c:v>10</c:v>
                </c:pt>
                <c:pt idx="24">
                  <c:v>10</c:v>
                </c:pt>
                <c:pt idx="25">
                  <c:v>10</c:v>
                </c:pt>
                <c:pt idx="26">
                  <c:v>10</c:v>
                </c:pt>
                <c:pt idx="27">
                  <c:v>10</c:v>
                </c:pt>
                <c:pt idx="28">
                  <c:v>10</c:v>
                </c:pt>
                <c:pt idx="29">
                  <c:v>10</c:v>
                </c:pt>
                <c:pt idx="30">
                  <c:v>10</c:v>
                </c:pt>
                <c:pt idx="31">
                  <c:v>10</c:v>
                </c:pt>
                <c:pt idx="32">
                  <c:v>10</c:v>
                </c:pt>
                <c:pt idx="33">
                  <c:v>10</c:v>
                </c:pt>
                <c:pt idx="34">
                  <c:v>10</c:v>
                </c:pt>
                <c:pt idx="35">
                  <c:v>10</c:v>
                </c:pt>
                <c:pt idx="36">
                  <c:v>10</c:v>
                </c:pt>
                <c:pt idx="37">
                  <c:v>10</c:v>
                </c:pt>
                <c:pt idx="38">
                  <c:v>10</c:v>
                </c:pt>
                <c:pt idx="39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3966-4356-92F0-3E546814BE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845713200"/>
        <c:axId val="845711888"/>
      </c:barChart>
      <c:catAx>
        <c:axId val="84571320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ysClr val="windowText" lastClr="000000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n-GB"/>
                  <a:t>Density (Properties per Hectare)</a:t>
                </a:r>
              </a:p>
              <a:p>
                <a:pPr>
                  <a:defRPr/>
                </a:pPr>
                <a:r>
                  <a:rPr lang="en-GB"/>
                  <a:t>Number of Connections  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ysClr val="windowText" lastClr="000000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ysClr val="windowText" lastClr="000000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  <c:crossAx val="845711888"/>
        <c:crosses val="autoZero"/>
        <c:auto val="1"/>
        <c:lblAlgn val="ctr"/>
        <c:lblOffset val="100"/>
        <c:noMultiLvlLbl val="0"/>
      </c:catAx>
      <c:valAx>
        <c:axId val="845711888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ysClr val="windowText" lastClr="000000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n-GB"/>
                  <a:t>Number of properties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ysClr val="windowText" lastClr="000000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en-US"/>
            </a:p>
          </c:txPr>
        </c:title>
        <c:numFmt formatCode="_-* #,##0_-;\-* #,##0_-;_-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ysClr val="windowText" lastClr="000000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  <c:crossAx val="845713200"/>
        <c:crosses val="autoZero"/>
        <c:crossBetween val="between"/>
        <c:majorUnit val="10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ysClr val="windowText" lastClr="000000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 b="1">
          <a:solidFill>
            <a:sysClr val="windowText" lastClr="000000"/>
          </a:solidFill>
          <a:latin typeface="Times New Roman" panose="02020603050405020304" pitchFamily="18" charset="0"/>
          <a:cs typeface="Times New Roman" panose="02020603050405020304" pitchFamily="18" charset="0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>
              <a:defRPr sz="1440" b="1" i="0" u="none" strike="noStrike" kern="1200" spc="0" baseline="0">
                <a:solidFill>
                  <a:sysClr val="windowText" lastClr="000000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r>
              <a:rPr lang="en-GB"/>
              <a:t>Energy</a:t>
            </a:r>
            <a:r>
              <a:rPr lang="en-GB" baseline="0"/>
              <a:t> Supply Option Selection Guide (GB)</a:t>
            </a:r>
            <a:endParaRPr lang="en-GB"/>
          </a:p>
        </c:rich>
      </c:tx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>
            <a:defRPr sz="1440" b="1" i="0" u="none" strike="noStrike" kern="1200" spc="0" baseline="0">
              <a:solidFill>
                <a:sysClr val="windowText" lastClr="000000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1079"/>
          <c:y val="9.6904722222222239E-2"/>
          <c:w val="0.77108916666666671"/>
          <c:h val="0.63841805555555553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'BEP Summary'!$Q$2</c:f>
              <c:strCache>
                <c:ptCount val="1"/>
                <c:pt idx="0">
                  <c:v>GB</c:v>
                </c:pt>
              </c:strCache>
            </c:strRef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gradFill>
                <a:gsLst>
                  <a:gs pos="0">
                    <a:srgbClr val="FFC000"/>
                  </a:gs>
                  <a:gs pos="53000">
                    <a:srgbClr val="FFBD5B"/>
                  </a:gs>
                  <a:gs pos="73000">
                    <a:srgbClr val="FFE6C1"/>
                  </a:gs>
                  <a:gs pos="100000">
                    <a:schemeClr val="bg1"/>
                  </a:gs>
                </a:gsLst>
                <a:lin ang="162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C-CE57-4699-926B-A3DCD29D872A}"/>
              </c:ext>
            </c:extLst>
          </c:dPt>
          <c:dPt>
            <c:idx val="1"/>
            <c:invertIfNegative val="0"/>
            <c:bubble3D val="0"/>
            <c:spPr>
              <a:gradFill>
                <a:gsLst>
                  <a:gs pos="0">
                    <a:srgbClr val="FFC000"/>
                  </a:gs>
                  <a:gs pos="53000">
                    <a:srgbClr val="FFBD5B"/>
                  </a:gs>
                  <a:gs pos="73000">
                    <a:srgbClr val="FFE6C1"/>
                  </a:gs>
                  <a:gs pos="100000">
                    <a:schemeClr val="bg1"/>
                  </a:gs>
                </a:gsLst>
                <a:lin ang="162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CE57-4699-926B-A3DCD29D872A}"/>
              </c:ext>
            </c:extLst>
          </c:dPt>
          <c:dPt>
            <c:idx val="2"/>
            <c:invertIfNegative val="0"/>
            <c:bubble3D val="0"/>
            <c:spPr>
              <a:gradFill>
                <a:gsLst>
                  <a:gs pos="0">
                    <a:srgbClr val="FFC000"/>
                  </a:gs>
                  <a:gs pos="53000">
                    <a:srgbClr val="FFBD5B"/>
                  </a:gs>
                  <a:gs pos="73000">
                    <a:srgbClr val="FFE6C1"/>
                  </a:gs>
                  <a:gs pos="100000">
                    <a:schemeClr val="bg1"/>
                  </a:gs>
                </a:gsLst>
                <a:lin ang="162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E-CE57-4699-926B-A3DCD29D872A}"/>
              </c:ext>
            </c:extLst>
          </c:dPt>
          <c:dPt>
            <c:idx val="3"/>
            <c:invertIfNegative val="0"/>
            <c:bubble3D val="0"/>
            <c:spPr>
              <a:gradFill>
                <a:gsLst>
                  <a:gs pos="0">
                    <a:srgbClr val="FFC000"/>
                  </a:gs>
                  <a:gs pos="53000">
                    <a:srgbClr val="FFBD5B"/>
                  </a:gs>
                  <a:gs pos="73000">
                    <a:srgbClr val="FFE6C1"/>
                  </a:gs>
                  <a:gs pos="100000">
                    <a:schemeClr val="bg1"/>
                  </a:gs>
                </a:gsLst>
                <a:lin ang="162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CE57-4699-926B-A3DCD29D872A}"/>
              </c:ext>
            </c:extLst>
          </c:dPt>
          <c:dPt>
            <c:idx val="4"/>
            <c:invertIfNegative val="0"/>
            <c:bubble3D val="0"/>
            <c:spPr>
              <a:gradFill>
                <a:gsLst>
                  <a:gs pos="0">
                    <a:srgbClr val="FFC000"/>
                  </a:gs>
                  <a:gs pos="53000">
                    <a:srgbClr val="FFBD5B"/>
                  </a:gs>
                  <a:gs pos="73000">
                    <a:srgbClr val="FFE6C1"/>
                  </a:gs>
                  <a:gs pos="100000">
                    <a:schemeClr val="bg1"/>
                  </a:gs>
                </a:gsLst>
                <a:lin ang="162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CE57-4699-926B-A3DCD29D872A}"/>
              </c:ext>
            </c:extLst>
          </c:dPt>
          <c:dPt>
            <c:idx val="5"/>
            <c:invertIfNegative val="0"/>
            <c:bubble3D val="0"/>
            <c:spPr>
              <a:gradFill>
                <a:gsLst>
                  <a:gs pos="0">
                    <a:srgbClr val="FFC000"/>
                  </a:gs>
                  <a:gs pos="53000">
                    <a:srgbClr val="FFBD5B"/>
                  </a:gs>
                  <a:gs pos="73000">
                    <a:srgbClr val="FFE6C1"/>
                  </a:gs>
                  <a:gs pos="100000">
                    <a:schemeClr val="bg1"/>
                  </a:gs>
                </a:gsLst>
                <a:lin ang="162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CE57-4699-926B-A3DCD29D872A}"/>
              </c:ext>
            </c:extLst>
          </c:dPt>
          <c:dPt>
            <c:idx val="6"/>
            <c:invertIfNegative val="0"/>
            <c:bubble3D val="0"/>
            <c:spPr>
              <a:gradFill>
                <a:gsLst>
                  <a:gs pos="0">
                    <a:srgbClr val="FFC000"/>
                  </a:gs>
                  <a:gs pos="53000">
                    <a:srgbClr val="FFBD5B"/>
                  </a:gs>
                  <a:gs pos="73000">
                    <a:srgbClr val="FFE6C1"/>
                  </a:gs>
                  <a:gs pos="100000">
                    <a:schemeClr val="bg1"/>
                  </a:gs>
                </a:gsLst>
                <a:lin ang="162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0-CE57-4699-926B-A3DCD29D872A}"/>
              </c:ext>
            </c:extLst>
          </c:dPt>
          <c:dPt>
            <c:idx val="7"/>
            <c:invertIfNegative val="0"/>
            <c:bubble3D val="0"/>
            <c:spPr>
              <a:gradFill>
                <a:gsLst>
                  <a:gs pos="0">
                    <a:srgbClr val="FFC000"/>
                  </a:gs>
                  <a:gs pos="53000">
                    <a:srgbClr val="FFBD5B"/>
                  </a:gs>
                  <a:gs pos="73000">
                    <a:srgbClr val="FFE6C1"/>
                  </a:gs>
                  <a:gs pos="100000">
                    <a:schemeClr val="bg1"/>
                  </a:gs>
                </a:gsLst>
                <a:lin ang="162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1-CE57-4699-926B-A3DCD29D872A}"/>
              </c:ext>
            </c:extLst>
          </c:dPt>
          <c:dPt>
            <c:idx val="8"/>
            <c:invertIfNegative val="0"/>
            <c:bubble3D val="0"/>
            <c:spPr>
              <a:gradFill>
                <a:gsLst>
                  <a:gs pos="0">
                    <a:srgbClr val="FFC000"/>
                  </a:gs>
                  <a:gs pos="53000">
                    <a:srgbClr val="FFBD5B"/>
                  </a:gs>
                  <a:gs pos="73000">
                    <a:srgbClr val="FFE6C1"/>
                  </a:gs>
                  <a:gs pos="100000">
                    <a:schemeClr val="bg1"/>
                  </a:gs>
                </a:gsLst>
                <a:lin ang="162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2-CE57-4699-926B-A3DCD29D872A}"/>
              </c:ext>
            </c:extLst>
          </c:dPt>
          <c:dPt>
            <c:idx val="9"/>
            <c:invertIfNegative val="0"/>
            <c:bubble3D val="0"/>
            <c:spPr>
              <a:gradFill>
                <a:gsLst>
                  <a:gs pos="0">
                    <a:srgbClr val="FFC000"/>
                  </a:gs>
                  <a:gs pos="53000">
                    <a:srgbClr val="FFBD5B"/>
                  </a:gs>
                  <a:gs pos="73000">
                    <a:srgbClr val="FFE6C1"/>
                  </a:gs>
                  <a:gs pos="100000">
                    <a:schemeClr val="bg1"/>
                  </a:gs>
                </a:gsLst>
                <a:lin ang="162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3-CE57-4699-926B-A3DCD29D872A}"/>
              </c:ext>
            </c:extLst>
          </c:dPt>
          <c:dPt>
            <c:idx val="12"/>
            <c:invertIfNegative val="0"/>
            <c:bubble3D val="0"/>
            <c:spPr>
              <a:gradFill>
                <a:gsLst>
                  <a:gs pos="0">
                    <a:srgbClr val="FFC000"/>
                  </a:gs>
                  <a:gs pos="53000">
                    <a:srgbClr val="FFBD5B"/>
                  </a:gs>
                  <a:gs pos="73000">
                    <a:srgbClr val="FFE6C1"/>
                  </a:gs>
                  <a:gs pos="100000">
                    <a:schemeClr val="bg1"/>
                  </a:gs>
                </a:gsLst>
                <a:lin ang="162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4-CE57-4699-926B-A3DCD29D872A}"/>
              </c:ext>
            </c:extLst>
          </c:dPt>
          <c:dPt>
            <c:idx val="13"/>
            <c:invertIfNegative val="0"/>
            <c:bubble3D val="0"/>
            <c:spPr>
              <a:gradFill>
                <a:gsLst>
                  <a:gs pos="0">
                    <a:srgbClr val="FFC000"/>
                  </a:gs>
                  <a:gs pos="53000">
                    <a:srgbClr val="FFBD5B"/>
                  </a:gs>
                  <a:gs pos="73000">
                    <a:srgbClr val="FFE6C1"/>
                  </a:gs>
                  <a:gs pos="100000">
                    <a:schemeClr val="bg1"/>
                  </a:gs>
                </a:gsLst>
                <a:lin ang="162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5-CE57-4699-926B-A3DCD29D872A}"/>
              </c:ext>
            </c:extLst>
          </c:dPt>
          <c:dPt>
            <c:idx val="14"/>
            <c:invertIfNegative val="0"/>
            <c:bubble3D val="0"/>
            <c:spPr>
              <a:gradFill>
                <a:gsLst>
                  <a:gs pos="0">
                    <a:srgbClr val="FFC000"/>
                  </a:gs>
                  <a:gs pos="53000">
                    <a:srgbClr val="FFBD5B"/>
                  </a:gs>
                  <a:gs pos="73000">
                    <a:srgbClr val="FFE6C1"/>
                  </a:gs>
                  <a:gs pos="100000">
                    <a:schemeClr val="bg1"/>
                  </a:gs>
                </a:gsLst>
                <a:lin ang="162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6-CE57-4699-926B-A3DCD29D872A}"/>
              </c:ext>
            </c:extLst>
          </c:dPt>
          <c:dPt>
            <c:idx val="15"/>
            <c:invertIfNegative val="0"/>
            <c:bubble3D val="0"/>
            <c:spPr>
              <a:gradFill>
                <a:gsLst>
                  <a:gs pos="0">
                    <a:srgbClr val="FFC000"/>
                  </a:gs>
                  <a:gs pos="53000">
                    <a:srgbClr val="FFBD5B"/>
                  </a:gs>
                  <a:gs pos="73000">
                    <a:srgbClr val="FFE6C1"/>
                  </a:gs>
                  <a:gs pos="100000">
                    <a:schemeClr val="bg1"/>
                  </a:gs>
                </a:gsLst>
                <a:lin ang="162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7-CE57-4699-926B-A3DCD29D872A}"/>
              </c:ext>
            </c:extLst>
          </c:dPt>
          <c:dPt>
            <c:idx val="19"/>
            <c:invertIfNegative val="0"/>
            <c:bubble3D val="0"/>
            <c:spPr>
              <a:gradFill>
                <a:gsLst>
                  <a:gs pos="0">
                    <a:srgbClr val="FFC000"/>
                  </a:gs>
                  <a:gs pos="53000">
                    <a:srgbClr val="FFBD5B"/>
                  </a:gs>
                  <a:gs pos="73000">
                    <a:srgbClr val="FFE6C1"/>
                  </a:gs>
                  <a:gs pos="100000">
                    <a:schemeClr val="bg1"/>
                  </a:gs>
                </a:gsLst>
                <a:lin ang="162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8-CE57-4699-926B-A3DCD29D872A}"/>
              </c:ext>
            </c:extLst>
          </c:dPt>
          <c:cat>
            <c:multiLvlStrRef>
              <c:f>'BEP Summary'!$I$3:$J$42</c:f>
              <c:multiLvlStrCache>
                <c:ptCount val="40"/>
                <c:lvl>
                  <c:pt idx="0">
                    <c:v> 75 </c:v>
                  </c:pt>
                  <c:pt idx="1">
                    <c:v> 50 </c:v>
                  </c:pt>
                  <c:pt idx="2">
                    <c:v> 35 </c:v>
                  </c:pt>
                  <c:pt idx="3">
                    <c:v> 25 </c:v>
                  </c:pt>
                  <c:pt idx="4">
                    <c:v> 10 </c:v>
                  </c:pt>
                  <c:pt idx="5">
                    <c:v> 75 </c:v>
                  </c:pt>
                  <c:pt idx="6">
                    <c:v> 50 </c:v>
                  </c:pt>
                  <c:pt idx="7">
                    <c:v> 35 </c:v>
                  </c:pt>
                  <c:pt idx="8">
                    <c:v> 25 </c:v>
                  </c:pt>
                  <c:pt idx="9">
                    <c:v> 10 </c:v>
                  </c:pt>
                  <c:pt idx="10">
                    <c:v> 75 </c:v>
                  </c:pt>
                  <c:pt idx="11">
                    <c:v> 50 </c:v>
                  </c:pt>
                  <c:pt idx="12">
                    <c:v> 35 </c:v>
                  </c:pt>
                  <c:pt idx="13">
                    <c:v> 25 </c:v>
                  </c:pt>
                  <c:pt idx="14">
                    <c:v> 10 </c:v>
                  </c:pt>
                  <c:pt idx="15">
                    <c:v> 75 </c:v>
                  </c:pt>
                  <c:pt idx="16">
                    <c:v> 50 </c:v>
                  </c:pt>
                  <c:pt idx="17">
                    <c:v> 35 </c:v>
                  </c:pt>
                  <c:pt idx="18">
                    <c:v> 25 </c:v>
                  </c:pt>
                  <c:pt idx="19">
                    <c:v> 10 </c:v>
                  </c:pt>
                  <c:pt idx="20">
                    <c:v> 75 </c:v>
                  </c:pt>
                  <c:pt idx="21">
                    <c:v> 50 </c:v>
                  </c:pt>
                  <c:pt idx="22">
                    <c:v> 35 </c:v>
                  </c:pt>
                  <c:pt idx="23">
                    <c:v> 25 </c:v>
                  </c:pt>
                  <c:pt idx="24">
                    <c:v> 10 </c:v>
                  </c:pt>
                  <c:pt idx="25">
                    <c:v> 75 </c:v>
                  </c:pt>
                  <c:pt idx="26">
                    <c:v> 50 </c:v>
                  </c:pt>
                  <c:pt idx="27">
                    <c:v> 35 </c:v>
                  </c:pt>
                  <c:pt idx="28">
                    <c:v> 25 </c:v>
                  </c:pt>
                  <c:pt idx="29">
                    <c:v> 10 </c:v>
                  </c:pt>
                  <c:pt idx="30">
                    <c:v> 75 </c:v>
                  </c:pt>
                  <c:pt idx="31">
                    <c:v> 50 </c:v>
                  </c:pt>
                  <c:pt idx="32">
                    <c:v> 35 </c:v>
                  </c:pt>
                  <c:pt idx="33">
                    <c:v> 25 </c:v>
                  </c:pt>
                  <c:pt idx="34">
                    <c:v> 10 </c:v>
                  </c:pt>
                  <c:pt idx="35">
                    <c:v> 75 </c:v>
                  </c:pt>
                  <c:pt idx="36">
                    <c:v> 50 </c:v>
                  </c:pt>
                  <c:pt idx="37">
                    <c:v> 35 </c:v>
                  </c:pt>
                  <c:pt idx="38">
                    <c:v> 25 </c:v>
                  </c:pt>
                  <c:pt idx="39">
                    <c:v> 10 </c:v>
                  </c:pt>
                </c:lvl>
                <c:lvl>
                  <c:pt idx="0">
                    <c:v>1</c:v>
                  </c:pt>
                  <c:pt idx="5">
                    <c:v>3</c:v>
                  </c:pt>
                  <c:pt idx="10">
                    <c:v>5</c:v>
                  </c:pt>
                  <c:pt idx="15">
                    <c:v>8</c:v>
                  </c:pt>
                  <c:pt idx="20">
                    <c:v>10</c:v>
                  </c:pt>
                  <c:pt idx="25">
                    <c:v>13</c:v>
                  </c:pt>
                  <c:pt idx="30">
                    <c:v>16</c:v>
                  </c:pt>
                  <c:pt idx="35">
                    <c:v>20</c:v>
                  </c:pt>
                </c:lvl>
              </c:multiLvlStrCache>
            </c:multiLvlStrRef>
          </c:cat>
          <c:val>
            <c:numRef>
              <c:f>'BEP Summary'!$Q$3:$Q$42</c:f>
              <c:numCache>
                <c:formatCode>_-* #,##0_-;\-* #,##0_-;_-* "-"??_-;_-@_-</c:formatCode>
                <c:ptCount val="40"/>
                <c:pt idx="0">
                  <c:v>10</c:v>
                </c:pt>
                <c:pt idx="1">
                  <c:v>10</c:v>
                </c:pt>
                <c:pt idx="2">
                  <c:v>10</c:v>
                </c:pt>
                <c:pt idx="3">
                  <c:v>10</c:v>
                </c:pt>
                <c:pt idx="4">
                  <c:v>10</c:v>
                </c:pt>
                <c:pt idx="5">
                  <c:v>10</c:v>
                </c:pt>
                <c:pt idx="6">
                  <c:v>10</c:v>
                </c:pt>
                <c:pt idx="7">
                  <c:v>10</c:v>
                </c:pt>
                <c:pt idx="8">
                  <c:v>10</c:v>
                </c:pt>
                <c:pt idx="9">
                  <c:v>10</c:v>
                </c:pt>
                <c:pt idx="10">
                  <c:v>65</c:v>
                </c:pt>
                <c:pt idx="11">
                  <c:v>109</c:v>
                </c:pt>
                <c:pt idx="12">
                  <c:v>10</c:v>
                </c:pt>
                <c:pt idx="13">
                  <c:v>10</c:v>
                </c:pt>
                <c:pt idx="14">
                  <c:v>10</c:v>
                </c:pt>
                <c:pt idx="15">
                  <c:v>25</c:v>
                </c:pt>
                <c:pt idx="16">
                  <c:v>29</c:v>
                </c:pt>
                <c:pt idx="17">
                  <c:v>36</c:v>
                </c:pt>
                <c:pt idx="18">
                  <c:v>48</c:v>
                </c:pt>
                <c:pt idx="19">
                  <c:v>10</c:v>
                </c:pt>
                <c:pt idx="20">
                  <c:v>4</c:v>
                </c:pt>
                <c:pt idx="21">
                  <c:v>6</c:v>
                </c:pt>
                <c:pt idx="22">
                  <c:v>22</c:v>
                </c:pt>
                <c:pt idx="23">
                  <c:v>27</c:v>
                </c:pt>
                <c:pt idx="24">
                  <c:v>100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E57-4699-926B-A3DCD29D872A}"/>
            </c:ext>
          </c:extLst>
        </c:ser>
        <c:ser>
          <c:idx val="1"/>
          <c:order val="1"/>
          <c:tx>
            <c:strRef>
              <c:f>'BEP Summary'!$R$2</c:f>
              <c:strCache>
                <c:ptCount val="1"/>
                <c:pt idx="0">
                  <c:v>AN</c:v>
                </c:pt>
              </c:strCache>
            </c:strRef>
          </c:tx>
          <c:spPr>
            <a:solidFill>
              <a:srgbClr val="C00000"/>
            </a:solidFill>
            <a:ln>
              <a:noFill/>
            </a:ln>
            <a:effectLst/>
          </c:spPr>
          <c:invertIfNegative val="0"/>
          <c:cat>
            <c:multiLvlStrRef>
              <c:f>'BEP Summary'!$I$3:$J$42</c:f>
              <c:multiLvlStrCache>
                <c:ptCount val="40"/>
                <c:lvl>
                  <c:pt idx="0">
                    <c:v> 75 </c:v>
                  </c:pt>
                  <c:pt idx="1">
                    <c:v> 50 </c:v>
                  </c:pt>
                  <c:pt idx="2">
                    <c:v> 35 </c:v>
                  </c:pt>
                  <c:pt idx="3">
                    <c:v> 25 </c:v>
                  </c:pt>
                  <c:pt idx="4">
                    <c:v> 10 </c:v>
                  </c:pt>
                  <c:pt idx="5">
                    <c:v> 75 </c:v>
                  </c:pt>
                  <c:pt idx="6">
                    <c:v> 50 </c:v>
                  </c:pt>
                  <c:pt idx="7">
                    <c:v> 35 </c:v>
                  </c:pt>
                  <c:pt idx="8">
                    <c:v> 25 </c:v>
                  </c:pt>
                  <c:pt idx="9">
                    <c:v> 10 </c:v>
                  </c:pt>
                  <c:pt idx="10">
                    <c:v> 75 </c:v>
                  </c:pt>
                  <c:pt idx="11">
                    <c:v> 50 </c:v>
                  </c:pt>
                  <c:pt idx="12">
                    <c:v> 35 </c:v>
                  </c:pt>
                  <c:pt idx="13">
                    <c:v> 25 </c:v>
                  </c:pt>
                  <c:pt idx="14">
                    <c:v> 10 </c:v>
                  </c:pt>
                  <c:pt idx="15">
                    <c:v> 75 </c:v>
                  </c:pt>
                  <c:pt idx="16">
                    <c:v> 50 </c:v>
                  </c:pt>
                  <c:pt idx="17">
                    <c:v> 35 </c:v>
                  </c:pt>
                  <c:pt idx="18">
                    <c:v> 25 </c:v>
                  </c:pt>
                  <c:pt idx="19">
                    <c:v> 10 </c:v>
                  </c:pt>
                  <c:pt idx="20">
                    <c:v> 75 </c:v>
                  </c:pt>
                  <c:pt idx="21">
                    <c:v> 50 </c:v>
                  </c:pt>
                  <c:pt idx="22">
                    <c:v> 35 </c:v>
                  </c:pt>
                  <c:pt idx="23">
                    <c:v> 25 </c:v>
                  </c:pt>
                  <c:pt idx="24">
                    <c:v> 10 </c:v>
                  </c:pt>
                  <c:pt idx="25">
                    <c:v> 75 </c:v>
                  </c:pt>
                  <c:pt idx="26">
                    <c:v> 50 </c:v>
                  </c:pt>
                  <c:pt idx="27">
                    <c:v> 35 </c:v>
                  </c:pt>
                  <c:pt idx="28">
                    <c:v> 25 </c:v>
                  </c:pt>
                  <c:pt idx="29">
                    <c:v> 10 </c:v>
                  </c:pt>
                  <c:pt idx="30">
                    <c:v> 75 </c:v>
                  </c:pt>
                  <c:pt idx="31">
                    <c:v> 50 </c:v>
                  </c:pt>
                  <c:pt idx="32">
                    <c:v> 35 </c:v>
                  </c:pt>
                  <c:pt idx="33">
                    <c:v> 25 </c:v>
                  </c:pt>
                  <c:pt idx="34">
                    <c:v> 10 </c:v>
                  </c:pt>
                  <c:pt idx="35">
                    <c:v> 75 </c:v>
                  </c:pt>
                  <c:pt idx="36">
                    <c:v> 50 </c:v>
                  </c:pt>
                  <c:pt idx="37">
                    <c:v> 35 </c:v>
                  </c:pt>
                  <c:pt idx="38">
                    <c:v> 25 </c:v>
                  </c:pt>
                  <c:pt idx="39">
                    <c:v> 10 </c:v>
                  </c:pt>
                </c:lvl>
                <c:lvl>
                  <c:pt idx="0">
                    <c:v>1</c:v>
                  </c:pt>
                  <c:pt idx="5">
                    <c:v>3</c:v>
                  </c:pt>
                  <c:pt idx="10">
                    <c:v>5</c:v>
                  </c:pt>
                  <c:pt idx="15">
                    <c:v>8</c:v>
                  </c:pt>
                  <c:pt idx="20">
                    <c:v>10</c:v>
                  </c:pt>
                  <c:pt idx="25">
                    <c:v>13</c:v>
                  </c:pt>
                  <c:pt idx="30">
                    <c:v>16</c:v>
                  </c:pt>
                  <c:pt idx="35">
                    <c:v>20</c:v>
                  </c:pt>
                </c:lvl>
              </c:multiLvlStrCache>
            </c:multiLvlStrRef>
          </c:cat>
          <c:val>
            <c:numRef>
              <c:f>'BEP Summary'!$R$3:$R$42</c:f>
              <c:numCache>
                <c:formatCode>_-* #,##0_-;\-* #,##0_-;_-* "-"??_-;_-@_-</c:formatCode>
                <c:ptCount val="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16</c:v>
                </c:pt>
                <c:pt idx="21">
                  <c:v>14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16</c:v>
                </c:pt>
                <c:pt idx="26">
                  <c:v>16</c:v>
                </c:pt>
                <c:pt idx="27">
                  <c:v>17</c:v>
                </c:pt>
                <c:pt idx="28">
                  <c:v>18</c:v>
                </c:pt>
                <c:pt idx="29">
                  <c:v>21</c:v>
                </c:pt>
                <c:pt idx="30">
                  <c:v>14</c:v>
                </c:pt>
                <c:pt idx="31">
                  <c:v>14</c:v>
                </c:pt>
                <c:pt idx="32">
                  <c:v>15</c:v>
                </c:pt>
                <c:pt idx="33">
                  <c:v>15</c:v>
                </c:pt>
                <c:pt idx="34">
                  <c:v>17</c:v>
                </c:pt>
                <c:pt idx="35">
                  <c:v>12</c:v>
                </c:pt>
                <c:pt idx="36">
                  <c:v>12</c:v>
                </c:pt>
                <c:pt idx="37">
                  <c:v>12</c:v>
                </c:pt>
                <c:pt idx="38">
                  <c:v>13</c:v>
                </c:pt>
                <c:pt idx="39">
                  <c:v>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E57-4699-926B-A3DCD29D872A}"/>
            </c:ext>
          </c:extLst>
        </c:ser>
        <c:ser>
          <c:idx val="2"/>
          <c:order val="2"/>
          <c:tx>
            <c:strRef>
              <c:f>'BEP Summary'!$S$2</c:f>
              <c:strCache>
                <c:ptCount val="1"/>
                <c:pt idx="0">
                  <c:v>DH</c:v>
                </c:pt>
              </c:strCache>
            </c:strRef>
          </c:tx>
          <c:spPr>
            <a:gradFill flip="none" rotWithShape="1">
              <a:gsLst>
                <a:gs pos="0">
                  <a:srgbClr val="002060"/>
                </a:gs>
                <a:gs pos="53000">
                  <a:schemeClr val="accent1">
                    <a:lumMod val="45000"/>
                    <a:lumOff val="55000"/>
                  </a:schemeClr>
                </a:gs>
                <a:gs pos="73000">
                  <a:srgbClr val="E1E9F3"/>
                </a:gs>
                <a:gs pos="100000">
                  <a:schemeClr val="bg1"/>
                </a:gs>
              </a:gsLst>
              <a:lin ang="16200000" scaled="0"/>
              <a:tileRect/>
            </a:gradFill>
            <a:ln>
              <a:noFill/>
            </a:ln>
            <a:effectLst/>
          </c:spPr>
          <c:invertIfNegative val="0"/>
          <c:dPt>
            <c:idx val="3"/>
            <c:invertIfNegative val="0"/>
            <c:bubble3D val="0"/>
            <c:spPr>
              <a:gradFill>
                <a:lin ang="162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CE57-4699-926B-A3DCD29D872A}"/>
              </c:ext>
            </c:extLst>
          </c:dPt>
          <c:dPt>
            <c:idx val="4"/>
            <c:invertIfNegative val="0"/>
            <c:bubble3D val="0"/>
            <c:spPr>
              <a:gradFill>
                <a:lin ang="162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CE57-4699-926B-A3DCD29D872A}"/>
              </c:ext>
            </c:extLst>
          </c:dPt>
          <c:cat>
            <c:multiLvlStrRef>
              <c:f>'BEP Summary'!$I$3:$J$42</c:f>
              <c:multiLvlStrCache>
                <c:ptCount val="40"/>
                <c:lvl>
                  <c:pt idx="0">
                    <c:v> 75 </c:v>
                  </c:pt>
                  <c:pt idx="1">
                    <c:v> 50 </c:v>
                  </c:pt>
                  <c:pt idx="2">
                    <c:v> 35 </c:v>
                  </c:pt>
                  <c:pt idx="3">
                    <c:v> 25 </c:v>
                  </c:pt>
                  <c:pt idx="4">
                    <c:v> 10 </c:v>
                  </c:pt>
                  <c:pt idx="5">
                    <c:v> 75 </c:v>
                  </c:pt>
                  <c:pt idx="6">
                    <c:v> 50 </c:v>
                  </c:pt>
                  <c:pt idx="7">
                    <c:v> 35 </c:v>
                  </c:pt>
                  <c:pt idx="8">
                    <c:v> 25 </c:v>
                  </c:pt>
                  <c:pt idx="9">
                    <c:v> 10 </c:v>
                  </c:pt>
                  <c:pt idx="10">
                    <c:v> 75 </c:v>
                  </c:pt>
                  <c:pt idx="11">
                    <c:v> 50 </c:v>
                  </c:pt>
                  <c:pt idx="12">
                    <c:v> 35 </c:v>
                  </c:pt>
                  <c:pt idx="13">
                    <c:v> 25 </c:v>
                  </c:pt>
                  <c:pt idx="14">
                    <c:v> 10 </c:v>
                  </c:pt>
                  <c:pt idx="15">
                    <c:v> 75 </c:v>
                  </c:pt>
                  <c:pt idx="16">
                    <c:v> 50 </c:v>
                  </c:pt>
                  <c:pt idx="17">
                    <c:v> 35 </c:v>
                  </c:pt>
                  <c:pt idx="18">
                    <c:v> 25 </c:v>
                  </c:pt>
                  <c:pt idx="19">
                    <c:v> 10 </c:v>
                  </c:pt>
                  <c:pt idx="20">
                    <c:v> 75 </c:v>
                  </c:pt>
                  <c:pt idx="21">
                    <c:v> 50 </c:v>
                  </c:pt>
                  <c:pt idx="22">
                    <c:v> 35 </c:v>
                  </c:pt>
                  <c:pt idx="23">
                    <c:v> 25 </c:v>
                  </c:pt>
                  <c:pt idx="24">
                    <c:v> 10 </c:v>
                  </c:pt>
                  <c:pt idx="25">
                    <c:v> 75 </c:v>
                  </c:pt>
                  <c:pt idx="26">
                    <c:v> 50 </c:v>
                  </c:pt>
                  <c:pt idx="27">
                    <c:v> 35 </c:v>
                  </c:pt>
                  <c:pt idx="28">
                    <c:v> 25 </c:v>
                  </c:pt>
                  <c:pt idx="29">
                    <c:v> 10 </c:v>
                  </c:pt>
                  <c:pt idx="30">
                    <c:v> 75 </c:v>
                  </c:pt>
                  <c:pt idx="31">
                    <c:v> 50 </c:v>
                  </c:pt>
                  <c:pt idx="32">
                    <c:v> 35 </c:v>
                  </c:pt>
                  <c:pt idx="33">
                    <c:v> 25 </c:v>
                  </c:pt>
                  <c:pt idx="34">
                    <c:v> 10 </c:v>
                  </c:pt>
                  <c:pt idx="35">
                    <c:v> 75 </c:v>
                  </c:pt>
                  <c:pt idx="36">
                    <c:v> 50 </c:v>
                  </c:pt>
                  <c:pt idx="37">
                    <c:v> 35 </c:v>
                  </c:pt>
                  <c:pt idx="38">
                    <c:v> 25 </c:v>
                  </c:pt>
                  <c:pt idx="39">
                    <c:v> 10 </c:v>
                  </c:pt>
                </c:lvl>
                <c:lvl>
                  <c:pt idx="0">
                    <c:v>1</c:v>
                  </c:pt>
                  <c:pt idx="5">
                    <c:v>3</c:v>
                  </c:pt>
                  <c:pt idx="10">
                    <c:v>5</c:v>
                  </c:pt>
                  <c:pt idx="15">
                    <c:v>8</c:v>
                  </c:pt>
                  <c:pt idx="20">
                    <c:v>10</c:v>
                  </c:pt>
                  <c:pt idx="25">
                    <c:v>13</c:v>
                  </c:pt>
                  <c:pt idx="30">
                    <c:v>16</c:v>
                  </c:pt>
                  <c:pt idx="35">
                    <c:v>20</c:v>
                  </c:pt>
                </c:lvl>
              </c:multiLvlStrCache>
            </c:multiLvlStrRef>
          </c:cat>
          <c:val>
            <c:numRef>
              <c:f>'BEP Summary'!$S$3:$S$42</c:f>
              <c:numCache>
                <c:formatCode>_-* #,##0_-;\-* #,##0_-;_-* "-"??_-;_-@_-</c:formatCode>
                <c:ptCount val="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10</c:v>
                </c:pt>
                <c:pt idx="11">
                  <c:v>10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10</c:v>
                </c:pt>
                <c:pt idx="16">
                  <c:v>10</c:v>
                </c:pt>
                <c:pt idx="17">
                  <c:v>10</c:v>
                </c:pt>
                <c:pt idx="18">
                  <c:v>10</c:v>
                </c:pt>
                <c:pt idx="19">
                  <c:v>0</c:v>
                </c:pt>
                <c:pt idx="20">
                  <c:v>10</c:v>
                </c:pt>
                <c:pt idx="21">
                  <c:v>10</c:v>
                </c:pt>
                <c:pt idx="22">
                  <c:v>10</c:v>
                </c:pt>
                <c:pt idx="23">
                  <c:v>10</c:v>
                </c:pt>
                <c:pt idx="24">
                  <c:v>10</c:v>
                </c:pt>
                <c:pt idx="25">
                  <c:v>10</c:v>
                </c:pt>
                <c:pt idx="26">
                  <c:v>10</c:v>
                </c:pt>
                <c:pt idx="27">
                  <c:v>10</c:v>
                </c:pt>
                <c:pt idx="28">
                  <c:v>10</c:v>
                </c:pt>
                <c:pt idx="29">
                  <c:v>10</c:v>
                </c:pt>
                <c:pt idx="30">
                  <c:v>10</c:v>
                </c:pt>
                <c:pt idx="31">
                  <c:v>10</c:v>
                </c:pt>
                <c:pt idx="32">
                  <c:v>10</c:v>
                </c:pt>
                <c:pt idx="33">
                  <c:v>10</c:v>
                </c:pt>
                <c:pt idx="34">
                  <c:v>10</c:v>
                </c:pt>
                <c:pt idx="35">
                  <c:v>10</c:v>
                </c:pt>
                <c:pt idx="36">
                  <c:v>10</c:v>
                </c:pt>
                <c:pt idx="37">
                  <c:v>10</c:v>
                </c:pt>
                <c:pt idx="38">
                  <c:v>10</c:v>
                </c:pt>
                <c:pt idx="39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CE57-4699-926B-A3DCD29D87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845713200"/>
        <c:axId val="845711888"/>
      </c:barChart>
      <c:catAx>
        <c:axId val="84571320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ysClr val="windowText" lastClr="000000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n-GB"/>
                  <a:t>Density (Properties per Hectare)</a:t>
                </a:r>
              </a:p>
              <a:p>
                <a:pPr>
                  <a:defRPr/>
                </a:pPr>
                <a:r>
                  <a:rPr lang="en-GB"/>
                  <a:t>Number of Connections  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ysClr val="windowText" lastClr="000000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ysClr val="windowText" lastClr="000000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  <c:crossAx val="845711888"/>
        <c:crosses val="autoZero"/>
        <c:auto val="1"/>
        <c:lblAlgn val="ctr"/>
        <c:lblOffset val="100"/>
        <c:noMultiLvlLbl val="0"/>
      </c:catAx>
      <c:valAx>
        <c:axId val="845711888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ysClr val="windowText" lastClr="000000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n-GB"/>
                  <a:t>Number of properties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ysClr val="windowText" lastClr="000000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en-US"/>
            </a:p>
          </c:txPr>
        </c:title>
        <c:numFmt formatCode="_-* #,##0_-;\-* #,##0_-;_-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ysClr val="windowText" lastClr="000000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  <c:crossAx val="845713200"/>
        <c:crosses val="autoZero"/>
        <c:crossBetween val="between"/>
        <c:majorUnit val="10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ysClr val="windowText" lastClr="000000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 b="1">
          <a:solidFill>
            <a:sysClr val="windowText" lastClr="000000"/>
          </a:solidFill>
          <a:latin typeface="Times New Roman" panose="02020603050405020304" pitchFamily="18" charset="0"/>
          <a:cs typeface="Times New Roman" panose="02020603050405020304" pitchFamily="18" charset="0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AHD!$G$3</c:f>
              <c:strCache>
                <c:ptCount val="1"/>
                <c:pt idx="0">
                  <c:v>DH</c:v>
                </c:pt>
              </c:strCache>
            </c:strRef>
          </c:tx>
          <c:spPr>
            <a:ln w="19050" cap="rnd">
              <a:solidFill>
                <a:srgbClr val="00206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206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AHD!$A$4:$A$27</c:f>
              <c:numCache>
                <c:formatCode>0%</c:formatCode>
                <c:ptCount val="24"/>
                <c:pt idx="0">
                  <c:v>0.2</c:v>
                </c:pt>
                <c:pt idx="1">
                  <c:v>0.3</c:v>
                </c:pt>
                <c:pt idx="2">
                  <c:v>0.5</c:v>
                </c:pt>
                <c:pt idx="3">
                  <c:v>0.55000000000000004</c:v>
                </c:pt>
                <c:pt idx="4">
                  <c:v>0.6</c:v>
                </c:pt>
                <c:pt idx="5">
                  <c:v>0.65</c:v>
                </c:pt>
                <c:pt idx="6">
                  <c:v>0.7</c:v>
                </c:pt>
                <c:pt idx="7">
                  <c:v>0.75</c:v>
                </c:pt>
                <c:pt idx="8">
                  <c:v>0.8</c:v>
                </c:pt>
                <c:pt idx="9">
                  <c:v>0.85</c:v>
                </c:pt>
                <c:pt idx="10">
                  <c:v>0.9</c:v>
                </c:pt>
                <c:pt idx="11">
                  <c:v>0.95</c:v>
                </c:pt>
                <c:pt idx="12">
                  <c:v>1</c:v>
                </c:pt>
                <c:pt idx="13">
                  <c:v>1.05</c:v>
                </c:pt>
                <c:pt idx="14">
                  <c:v>1.1000000000000001</c:v>
                </c:pt>
                <c:pt idx="15">
                  <c:v>1.1499999999999999</c:v>
                </c:pt>
                <c:pt idx="16">
                  <c:v>1.2</c:v>
                </c:pt>
                <c:pt idx="17">
                  <c:v>1.25</c:v>
                </c:pt>
                <c:pt idx="18">
                  <c:v>1.3</c:v>
                </c:pt>
                <c:pt idx="19">
                  <c:v>1.35</c:v>
                </c:pt>
                <c:pt idx="20">
                  <c:v>1.4</c:v>
                </c:pt>
                <c:pt idx="21">
                  <c:v>1.45</c:v>
                </c:pt>
                <c:pt idx="22">
                  <c:v>1.5</c:v>
                </c:pt>
                <c:pt idx="23">
                  <c:v>2</c:v>
                </c:pt>
              </c:numCache>
            </c:numRef>
          </c:xVal>
          <c:yVal>
            <c:numRef>
              <c:f>AHD!$G$4:$G$27</c:f>
              <c:numCache>
                <c:formatCode>0%</c:formatCode>
                <c:ptCount val="24"/>
                <c:pt idx="0">
                  <c:v>-0.59550067160548603</c:v>
                </c:pt>
                <c:pt idx="1">
                  <c:v>-0.50196776904459939</c:v>
                </c:pt>
                <c:pt idx="2">
                  <c:v>-0.33406271026566864</c:v>
                </c:pt>
                <c:pt idx="3">
                  <c:v>-0.29560938693376532</c:v>
                </c:pt>
                <c:pt idx="4">
                  <c:v>-0.25842570535156362</c:v>
                </c:pt>
                <c:pt idx="5">
                  <c:v>-0.22244982697208004</c:v>
                </c:pt>
                <c:pt idx="6">
                  <c:v>-0.18762386495487546</c:v>
                </c:pt>
                <c:pt idx="7">
                  <c:v>-0.15389357346935073</c:v>
                </c:pt>
                <c:pt idx="8">
                  <c:v>-0.12120806585787373</c:v>
                </c:pt>
                <c:pt idx="9">
                  <c:v>-8.9519558578924505E-2</c:v>
                </c:pt>
                <c:pt idx="10">
                  <c:v>-5.8783138220403285E-2</c:v>
                </c:pt>
                <c:pt idx="11">
                  <c:v>-2.8956549193978855E-2</c:v>
                </c:pt>
                <c:pt idx="12">
                  <c:v>0</c:v>
                </c:pt>
                <c:pt idx="13">
                  <c:v>2.8124013804924946E-2</c:v>
                </c:pt>
                <c:pt idx="14">
                  <c:v>5.5450871593875004E-2</c:v>
                </c:pt>
                <c:pt idx="15">
                  <c:v>8.2013976080246756E-2</c:v>
                </c:pt>
                <c:pt idx="16">
                  <c:v>0.1078448894620659</c:v>
                </c:pt>
                <c:pt idx="17">
                  <c:v>0.13297345846672057</c:v>
                </c:pt>
                <c:pt idx="18">
                  <c:v>0.15742792933770711</c:v>
                </c:pt>
                <c:pt idx="19">
                  <c:v>0.18123505369474688</c:v>
                </c:pt>
                <c:pt idx="20">
                  <c:v>0.20442018610137699</c:v>
                </c:pt>
                <c:pt idx="21">
                  <c:v>0.22700737408809085</c:v>
                </c:pt>
                <c:pt idx="22">
                  <c:v>0.24901944130298839</c:v>
                </c:pt>
                <c:pt idx="23">
                  <c:v>0.44179288044726112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0A2-446B-B9E2-2C2A37B5EF87}"/>
            </c:ext>
          </c:extLst>
        </c:ser>
        <c:ser>
          <c:idx val="1"/>
          <c:order val="1"/>
          <c:tx>
            <c:strRef>
              <c:f>AHD!$H$3</c:f>
              <c:strCache>
                <c:ptCount val="1"/>
                <c:pt idx="0">
                  <c:v>AN</c:v>
                </c:pt>
              </c:strCache>
            </c:strRef>
          </c:tx>
          <c:spPr>
            <a:ln w="19050" cap="rnd">
              <a:solidFill>
                <a:srgbClr val="C0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AHD!$A$4:$A$27</c:f>
              <c:numCache>
                <c:formatCode>0%</c:formatCode>
                <c:ptCount val="24"/>
                <c:pt idx="0">
                  <c:v>0.2</c:v>
                </c:pt>
                <c:pt idx="1">
                  <c:v>0.3</c:v>
                </c:pt>
                <c:pt idx="2">
                  <c:v>0.5</c:v>
                </c:pt>
                <c:pt idx="3">
                  <c:v>0.55000000000000004</c:v>
                </c:pt>
                <c:pt idx="4">
                  <c:v>0.6</c:v>
                </c:pt>
                <c:pt idx="5">
                  <c:v>0.65</c:v>
                </c:pt>
                <c:pt idx="6">
                  <c:v>0.7</c:v>
                </c:pt>
                <c:pt idx="7">
                  <c:v>0.75</c:v>
                </c:pt>
                <c:pt idx="8">
                  <c:v>0.8</c:v>
                </c:pt>
                <c:pt idx="9">
                  <c:v>0.85</c:v>
                </c:pt>
                <c:pt idx="10">
                  <c:v>0.9</c:v>
                </c:pt>
                <c:pt idx="11">
                  <c:v>0.95</c:v>
                </c:pt>
                <c:pt idx="12">
                  <c:v>1</c:v>
                </c:pt>
                <c:pt idx="13">
                  <c:v>1.05</c:v>
                </c:pt>
                <c:pt idx="14">
                  <c:v>1.1000000000000001</c:v>
                </c:pt>
                <c:pt idx="15">
                  <c:v>1.1499999999999999</c:v>
                </c:pt>
                <c:pt idx="16">
                  <c:v>1.2</c:v>
                </c:pt>
                <c:pt idx="17">
                  <c:v>1.25</c:v>
                </c:pt>
                <c:pt idx="18">
                  <c:v>1.3</c:v>
                </c:pt>
                <c:pt idx="19">
                  <c:v>1.35</c:v>
                </c:pt>
                <c:pt idx="20">
                  <c:v>1.4</c:v>
                </c:pt>
                <c:pt idx="21">
                  <c:v>1.45</c:v>
                </c:pt>
                <c:pt idx="22">
                  <c:v>1.5</c:v>
                </c:pt>
                <c:pt idx="23">
                  <c:v>2</c:v>
                </c:pt>
              </c:numCache>
            </c:numRef>
          </c:xVal>
          <c:yVal>
            <c:numRef>
              <c:f>AHD!$H$4:$H$27</c:f>
              <c:numCache>
                <c:formatCode>0%</c:formatCode>
                <c:ptCount val="24"/>
                <c:pt idx="0">
                  <c:v>-0.44066941378168378</c:v>
                </c:pt>
                <c:pt idx="1">
                  <c:v>-0.37525064446414713</c:v>
                </c:pt>
                <c:pt idx="2">
                  <c:v>-0.25439857067488947</c:v>
                </c:pt>
                <c:pt idx="3">
                  <c:v>-0.22608295458241412</c:v>
                </c:pt>
                <c:pt idx="4">
                  <c:v>-0.1984698128683301</c:v>
                </c:pt>
                <c:pt idx="5">
                  <c:v>-0.17153332458287376</c:v>
                </c:pt>
                <c:pt idx="6">
                  <c:v>-0.14524891893129491</c:v>
                </c:pt>
                <c:pt idx="7">
                  <c:v>-0.11959320051883762</c:v>
                </c:pt>
                <c:pt idx="8">
                  <c:v>-9.4543879896441876E-2</c:v>
                </c:pt>
                <c:pt idx="9">
                  <c:v>-7.0079708973782268E-2</c:v>
                </c:pt>
                <c:pt idx="10">
                  <c:v>-4.6180420906288128E-2</c:v>
                </c:pt>
                <c:pt idx="11">
                  <c:v>-2.2826674098701812E-2</c:v>
                </c:pt>
                <c:pt idx="12">
                  <c:v>0</c:v>
                </c:pt>
                <c:pt idx="13">
                  <c:v>2.2317245606462272E-2</c:v>
                </c:pt>
                <c:pt idx="14">
                  <c:v>4.4141928087588204E-2</c:v>
                </c:pt>
                <c:pt idx="15">
                  <c:v>6.5490176466376809E-2</c:v>
                </c:pt>
                <c:pt idx="16">
                  <c:v>8.6377423174104892E-2</c:v>
                </c:pt>
                <c:pt idx="17">
                  <c:v>0.10681844125474853</c:v>
                </c:pt>
                <c:pt idx="18">
                  <c:v>0.1268273792101336</c:v>
                </c:pt>
                <c:pt idx="19">
                  <c:v>0.14641779365853527</c:v>
                </c:pt>
                <c:pt idx="20">
                  <c:v>0.16560267996515202</c:v>
                </c:pt>
                <c:pt idx="21">
                  <c:v>0.18439450098987362</c:v>
                </c:pt>
                <c:pt idx="22">
                  <c:v>0.202805214085997</c:v>
                </c:pt>
                <c:pt idx="23">
                  <c:v>0.36826717639697637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0A2-446B-B9E2-2C2A37B5EF87}"/>
            </c:ext>
          </c:extLst>
        </c:ser>
        <c:ser>
          <c:idx val="2"/>
          <c:order val="2"/>
          <c:tx>
            <c:strRef>
              <c:f>AHD!$I$3</c:f>
              <c:strCache>
                <c:ptCount val="1"/>
                <c:pt idx="0">
                  <c:v>ASHP</c:v>
                </c:pt>
              </c:strCache>
            </c:strRef>
          </c:tx>
          <c:spPr>
            <a:ln w="19050" cap="rnd">
              <a:solidFill>
                <a:srgbClr val="92D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92D050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AHD!$A$4:$A$27</c:f>
              <c:numCache>
                <c:formatCode>0%</c:formatCode>
                <c:ptCount val="24"/>
                <c:pt idx="0">
                  <c:v>0.2</c:v>
                </c:pt>
                <c:pt idx="1">
                  <c:v>0.3</c:v>
                </c:pt>
                <c:pt idx="2">
                  <c:v>0.5</c:v>
                </c:pt>
                <c:pt idx="3">
                  <c:v>0.55000000000000004</c:v>
                </c:pt>
                <c:pt idx="4">
                  <c:v>0.6</c:v>
                </c:pt>
                <c:pt idx="5">
                  <c:v>0.65</c:v>
                </c:pt>
                <c:pt idx="6">
                  <c:v>0.7</c:v>
                </c:pt>
                <c:pt idx="7">
                  <c:v>0.75</c:v>
                </c:pt>
                <c:pt idx="8">
                  <c:v>0.8</c:v>
                </c:pt>
                <c:pt idx="9">
                  <c:v>0.85</c:v>
                </c:pt>
                <c:pt idx="10">
                  <c:v>0.9</c:v>
                </c:pt>
                <c:pt idx="11">
                  <c:v>0.95</c:v>
                </c:pt>
                <c:pt idx="12">
                  <c:v>1</c:v>
                </c:pt>
                <c:pt idx="13">
                  <c:v>1.05</c:v>
                </c:pt>
                <c:pt idx="14">
                  <c:v>1.1000000000000001</c:v>
                </c:pt>
                <c:pt idx="15">
                  <c:v>1.1499999999999999</c:v>
                </c:pt>
                <c:pt idx="16">
                  <c:v>1.2</c:v>
                </c:pt>
                <c:pt idx="17">
                  <c:v>1.25</c:v>
                </c:pt>
                <c:pt idx="18">
                  <c:v>1.3</c:v>
                </c:pt>
                <c:pt idx="19">
                  <c:v>1.35</c:v>
                </c:pt>
                <c:pt idx="20">
                  <c:v>1.4</c:v>
                </c:pt>
                <c:pt idx="21">
                  <c:v>1.45</c:v>
                </c:pt>
                <c:pt idx="22">
                  <c:v>1.5</c:v>
                </c:pt>
                <c:pt idx="23">
                  <c:v>2</c:v>
                </c:pt>
              </c:numCache>
            </c:numRef>
          </c:xVal>
          <c:yVal>
            <c:numRef>
              <c:f>AHD!$I$4:$I$27</c:f>
              <c:numCache>
                <c:formatCode>0%</c:formatCode>
                <c:ptCount val="24"/>
                <c:pt idx="0">
                  <c:v>-0.24056064265778976</c:v>
                </c:pt>
                <c:pt idx="1">
                  <c:v>-0.20737270537095867</c:v>
                </c:pt>
                <c:pt idx="2">
                  <c:v>-0.14386151087789831</c:v>
                </c:pt>
                <c:pt idx="3">
                  <c:v>-0.12855068500167202</c:v>
                </c:pt>
                <c:pt idx="4">
                  <c:v>-0.11345699917028765</c:v>
                </c:pt>
                <c:pt idx="5">
                  <c:v>-9.8575866647722873E-2</c:v>
                </c:pt>
                <c:pt idx="6">
                  <c:v>-8.3902828977998264E-2</c:v>
                </c:pt>
                <c:pt idx="7">
                  <c:v>-6.9433551531706314E-2</c:v>
                </c:pt>
                <c:pt idx="8">
                  <c:v>-5.5163819236798972E-2</c:v>
                </c:pt>
                <c:pt idx="9">
                  <c:v>-4.1089532484784627E-2</c:v>
                </c:pt>
                <c:pt idx="10">
                  <c:v>-2.7206703204005932E-2</c:v>
                </c:pt>
                <c:pt idx="11">
                  <c:v>-1.3511451092073497E-2</c:v>
                </c:pt>
                <c:pt idx="12">
                  <c:v>0</c:v>
                </c:pt>
                <c:pt idx="13">
                  <c:v>1.3331325539059977E-2</c:v>
                </c:pt>
                <c:pt idx="14">
                  <c:v>2.6486103643156039E-2</c:v>
                </c:pt>
                <c:pt idx="15">
                  <c:v>3.9467818283328418E-2</c:v>
                </c:pt>
                <c:pt idx="16">
                  <c:v>5.2279862359855551E-2</c:v>
                </c:pt>
                <c:pt idx="17">
                  <c:v>6.4925540658659936E-2</c:v>
                </c:pt>
                <c:pt idx="18">
                  <c:v>7.7408072693296859E-2</c:v>
                </c:pt>
                <c:pt idx="19">
                  <c:v>8.9730595437641184E-2</c:v>
                </c:pt>
                <c:pt idx="20">
                  <c:v>0.10189616595417006</c:v>
                </c:pt>
                <c:pt idx="21">
                  <c:v>0.11390776392243435</c:v>
                </c:pt>
                <c:pt idx="22">
                  <c:v>0.12576829407214404</c:v>
                </c:pt>
                <c:pt idx="23">
                  <c:v>0.23665475569065161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0A2-446B-B9E2-2C2A37B5EF87}"/>
            </c:ext>
          </c:extLst>
        </c:ser>
        <c:ser>
          <c:idx val="3"/>
          <c:order val="3"/>
          <c:tx>
            <c:strRef>
              <c:f>AHD!$J$3</c:f>
              <c:strCache>
                <c:ptCount val="1"/>
                <c:pt idx="0">
                  <c:v>GB</c:v>
                </c:pt>
              </c:strCache>
            </c:strRef>
          </c:tx>
          <c:spPr>
            <a:ln w="19050" cap="rnd">
              <a:solidFill>
                <a:srgbClr val="FFC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solidFill>
                  <a:srgbClr val="FFC000"/>
                </a:solidFill>
              </a:ln>
              <a:effectLst/>
            </c:spPr>
          </c:marker>
          <c:xVal>
            <c:numRef>
              <c:f>AHD!$A$4:$A$27</c:f>
              <c:numCache>
                <c:formatCode>0%</c:formatCode>
                <c:ptCount val="24"/>
                <c:pt idx="0">
                  <c:v>0.2</c:v>
                </c:pt>
                <c:pt idx="1">
                  <c:v>0.3</c:v>
                </c:pt>
                <c:pt idx="2">
                  <c:v>0.5</c:v>
                </c:pt>
                <c:pt idx="3">
                  <c:v>0.55000000000000004</c:v>
                </c:pt>
                <c:pt idx="4">
                  <c:v>0.6</c:v>
                </c:pt>
                <c:pt idx="5">
                  <c:v>0.65</c:v>
                </c:pt>
                <c:pt idx="6">
                  <c:v>0.7</c:v>
                </c:pt>
                <c:pt idx="7">
                  <c:v>0.75</c:v>
                </c:pt>
                <c:pt idx="8">
                  <c:v>0.8</c:v>
                </c:pt>
                <c:pt idx="9">
                  <c:v>0.85</c:v>
                </c:pt>
                <c:pt idx="10">
                  <c:v>0.9</c:v>
                </c:pt>
                <c:pt idx="11">
                  <c:v>0.95</c:v>
                </c:pt>
                <c:pt idx="12">
                  <c:v>1</c:v>
                </c:pt>
                <c:pt idx="13">
                  <c:v>1.05</c:v>
                </c:pt>
                <c:pt idx="14">
                  <c:v>1.1000000000000001</c:v>
                </c:pt>
                <c:pt idx="15">
                  <c:v>1.1499999999999999</c:v>
                </c:pt>
                <c:pt idx="16">
                  <c:v>1.2</c:v>
                </c:pt>
                <c:pt idx="17">
                  <c:v>1.25</c:v>
                </c:pt>
                <c:pt idx="18">
                  <c:v>1.3</c:v>
                </c:pt>
                <c:pt idx="19">
                  <c:v>1.35</c:v>
                </c:pt>
                <c:pt idx="20">
                  <c:v>1.4</c:v>
                </c:pt>
                <c:pt idx="21">
                  <c:v>1.45</c:v>
                </c:pt>
                <c:pt idx="22">
                  <c:v>1.5</c:v>
                </c:pt>
                <c:pt idx="23">
                  <c:v>2</c:v>
                </c:pt>
              </c:numCache>
            </c:numRef>
          </c:xVal>
          <c:yVal>
            <c:numRef>
              <c:f>AHD!$J$4:$J$27</c:f>
              <c:numCache>
                <c:formatCode>0%</c:formatCode>
                <c:ptCount val="24"/>
                <c:pt idx="0">
                  <c:v>-0.74100287066488701</c:v>
                </c:pt>
                <c:pt idx="1">
                  <c:v>-0.6196785383441249</c:v>
                </c:pt>
                <c:pt idx="2">
                  <c:v>-0.40663036847666695</c:v>
                </c:pt>
                <c:pt idx="3">
                  <c:v>-0.35867492576758958</c:v>
                </c:pt>
                <c:pt idx="4">
                  <c:v>-0.31259330183065992</c:v>
                </c:pt>
                <c:pt idx="5">
                  <c:v>-0.26827777439520378</c:v>
                </c:pt>
                <c:pt idx="6">
                  <c:v>-0.22562872293666833</c:v>
                </c:pt>
                <c:pt idx="7">
                  <c:v>-0.18455388107227833</c:v>
                </c:pt>
                <c:pt idx="8">
                  <c:v>-0.14496767024053323</c:v>
                </c:pt>
                <c:pt idx="9">
                  <c:v>-0.10679060453747784</c:v>
                </c:pt>
                <c:pt idx="10">
                  <c:v>-6.9948757999417771E-2</c:v>
                </c:pt>
                <c:pt idx="11">
                  <c:v>-3.4373286819366064E-2</c:v>
                </c:pt>
                <c:pt idx="12">
                  <c:v>0</c:v>
                </c:pt>
                <c:pt idx="13">
                  <c:v>3.3231027190446565E-2</c:v>
                </c:pt>
                <c:pt idx="14">
                  <c:v>6.5375801856350432E-2</c:v>
                </c:pt>
                <c:pt idx="15">
                  <c:v>9.6486728473906186E-2</c:v>
                </c:pt>
                <c:pt idx="16">
                  <c:v>0.1266128939781147</c:v>
                </c:pt>
                <c:pt idx="17">
                  <c:v>0.15580032619978221</c:v>
                </c:pt>
                <c:pt idx="18">
                  <c:v>0.18409222851439891</c:v>
                </c:pt>
                <c:pt idx="19">
                  <c:v>0.2115291932188407</c:v>
                </c:pt>
                <c:pt idx="20">
                  <c:v>0.23814939585223349</c:v>
                </c:pt>
                <c:pt idx="21">
                  <c:v>0.26398877241732766</c:v>
                </c:pt>
                <c:pt idx="22">
                  <c:v>0.28908118123244719</c:v>
                </c:pt>
                <c:pt idx="23">
                  <c:v>0.50514797570753733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00A2-446B-B9E2-2C2A37B5EF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81731560"/>
        <c:axId val="881735496"/>
      </c:scatterChart>
      <c:valAx>
        <c:axId val="881731560"/>
        <c:scaling>
          <c:orientation val="minMax"/>
          <c:max val="2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1" i="0" u="none" strike="noStrike" kern="1200" baseline="0">
                    <a:solidFill>
                      <a:sysClr val="windowText" lastClr="000000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n-GB"/>
                  <a:t>Annual Heat Demand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1" i="0" u="none" strike="noStrike" kern="1200" baseline="0">
                  <a:solidFill>
                    <a:sysClr val="windowText" lastClr="000000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en-US"/>
            </a:p>
          </c:txPr>
        </c:title>
        <c:numFmt formatCode="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ysClr val="windowText" lastClr="000000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  <c:crossAx val="881735496"/>
        <c:crosses val="autoZero"/>
        <c:crossBetween val="midCat"/>
      </c:valAx>
      <c:valAx>
        <c:axId val="8817354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1" i="0" u="none" strike="noStrike" kern="1200" baseline="0">
                    <a:solidFill>
                      <a:sysClr val="windowText" lastClr="000000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n-GB"/>
                  <a:t>Variation from average AHD's NPV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1" i="0" u="none" strike="noStrike" kern="1200" baseline="0">
                  <a:solidFill>
                    <a:sysClr val="windowText" lastClr="000000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en-US"/>
            </a:p>
          </c:txPr>
        </c:title>
        <c:numFmt formatCode="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ysClr val="windowText" lastClr="000000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  <c:crossAx val="88173156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ysClr val="windowText" lastClr="000000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400" b="1">
          <a:solidFill>
            <a:sysClr val="windowText" lastClr="000000"/>
          </a:solidFill>
          <a:latin typeface="Times New Roman" panose="02020603050405020304" pitchFamily="18" charset="0"/>
          <a:cs typeface="Times New Roman" panose="02020603050405020304" pitchFamily="18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Density!$B$30</c:f>
              <c:strCache>
                <c:ptCount val="1"/>
                <c:pt idx="0">
                  <c:v>DH</c:v>
                </c:pt>
              </c:strCache>
            </c:strRef>
          </c:tx>
          <c:spPr>
            <a:ln w="19050" cap="rnd">
              <a:solidFill>
                <a:srgbClr val="00206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2060"/>
              </a:solidFill>
              <a:ln w="9525">
                <a:solidFill>
                  <a:srgbClr val="002060"/>
                </a:solidFill>
              </a:ln>
              <a:effectLst/>
            </c:spPr>
          </c:marker>
          <c:xVal>
            <c:numRef>
              <c:f>Density!$A$31:$A$54</c:f>
              <c:numCache>
                <c:formatCode>_-* #,##0_-;\-* #,##0_-;_-* "-"??_-;_-@_-</c:formatCode>
                <c:ptCount val="24"/>
                <c:pt idx="0">
                  <c:v>156.25</c:v>
                </c:pt>
                <c:pt idx="1">
                  <c:v>123.45679012345678</c:v>
                </c:pt>
                <c:pt idx="2">
                  <c:v>100</c:v>
                </c:pt>
                <c:pt idx="3">
                  <c:v>82.644628099173573</c:v>
                </c:pt>
                <c:pt idx="4">
                  <c:v>69.444444444444457</c:v>
                </c:pt>
                <c:pt idx="5">
                  <c:v>59.171597633136095</c:v>
                </c:pt>
                <c:pt idx="6">
                  <c:v>51.020408163265309</c:v>
                </c:pt>
                <c:pt idx="7">
                  <c:v>44.44444444444445</c:v>
                </c:pt>
                <c:pt idx="8">
                  <c:v>39.0625</c:v>
                </c:pt>
                <c:pt idx="9">
                  <c:v>34.602076124567482</c:v>
                </c:pt>
                <c:pt idx="10">
                  <c:v>30.864197530864196</c:v>
                </c:pt>
                <c:pt idx="11">
                  <c:v>27.700831024930753</c:v>
                </c:pt>
                <c:pt idx="12">
                  <c:v>25</c:v>
                </c:pt>
                <c:pt idx="13">
                  <c:v>22.675736961451246</c:v>
                </c:pt>
                <c:pt idx="14">
                  <c:v>20.661157024793393</c:v>
                </c:pt>
                <c:pt idx="15">
                  <c:v>18.903591682419659</c:v>
                </c:pt>
                <c:pt idx="16">
                  <c:v>17.361111111111114</c:v>
                </c:pt>
                <c:pt idx="17">
                  <c:v>16</c:v>
                </c:pt>
                <c:pt idx="18">
                  <c:v>14.792899408284024</c:v>
                </c:pt>
                <c:pt idx="19">
                  <c:v>13.717421124828533</c:v>
                </c:pt>
                <c:pt idx="20">
                  <c:v>12.755102040816327</c:v>
                </c:pt>
                <c:pt idx="21">
                  <c:v>11.890606420927465</c:v>
                </c:pt>
                <c:pt idx="22">
                  <c:v>11.111111111111112</c:v>
                </c:pt>
                <c:pt idx="23">
                  <c:v>10.405827263267428</c:v>
                </c:pt>
              </c:numCache>
            </c:numRef>
          </c:xVal>
          <c:yVal>
            <c:numRef>
              <c:f>Density!$B$31:$B$54</c:f>
              <c:numCache>
                <c:formatCode>0%</c:formatCode>
                <c:ptCount val="24"/>
                <c:pt idx="0">
                  <c:v>-0.14246058435333983</c:v>
                </c:pt>
                <c:pt idx="1">
                  <c:v>-0.12730743378138457</c:v>
                </c:pt>
                <c:pt idx="2">
                  <c:v>-0.11236718797119483</c:v>
                </c:pt>
                <c:pt idx="3">
                  <c:v>-9.7635391194071747E-2</c:v>
                </c:pt>
                <c:pt idx="4">
                  <c:v>-8.310771119422436E-2</c:v>
                </c:pt>
                <c:pt idx="5">
                  <c:v>-6.8779934941243737E-2</c:v>
                </c:pt>
                <c:pt idx="6">
                  <c:v>-5.4647964556713932E-2</c:v>
                </c:pt>
                <c:pt idx="7">
                  <c:v>-4.0707813406699239E-2</c:v>
                </c:pt>
                <c:pt idx="8">
                  <c:v>-2.6955602352263582E-2</c:v>
                </c:pt>
                <c:pt idx="9">
                  <c:v>-1.3387556150639019E-2</c:v>
                </c:pt>
                <c:pt idx="10">
                  <c:v>0</c:v>
                </c:pt>
                <c:pt idx="11">
                  <c:v>1.3210643778771552E-2</c:v>
                </c:pt>
                <c:pt idx="12">
                  <c:v>2.6247858929637994E-2</c:v>
                </c:pt>
                <c:pt idx="13">
                  <c:v>3.9115038324247675E-2</c:v>
                </c:pt>
                <c:pt idx="14">
                  <c:v>5.1815486905698371E-2</c:v>
                </c:pt>
                <c:pt idx="15">
                  <c:v>6.4352424518615267E-2</c:v>
                </c:pt>
                <c:pt idx="16">
                  <c:v>7.6728988630616377E-2</c:v>
                </c:pt>
                <c:pt idx="17">
                  <c:v>8.8948236950002341E-2</c:v>
                </c:pt>
                <c:pt idx="18">
                  <c:v>0.10101314994425616</c:v>
                </c:pt>
                <c:pt idx="19">
                  <c:v>0.11292663326371591</c:v>
                </c:pt>
                <c:pt idx="20">
                  <c:v>0.1246915200745541</c:v>
                </c:pt>
                <c:pt idx="21">
                  <c:v>0.13631057330500052</c:v>
                </c:pt>
                <c:pt idx="22">
                  <c:v>0.14778648780854925</c:v>
                </c:pt>
                <c:pt idx="23">
                  <c:v>0.15912189244770841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D67-46D5-B353-3AF1F52F9734}"/>
            </c:ext>
          </c:extLst>
        </c:ser>
        <c:ser>
          <c:idx val="1"/>
          <c:order val="1"/>
          <c:tx>
            <c:strRef>
              <c:f>Density!$C$30</c:f>
              <c:strCache>
                <c:ptCount val="1"/>
                <c:pt idx="0">
                  <c:v>AN</c:v>
                </c:pt>
              </c:strCache>
            </c:strRef>
          </c:tx>
          <c:spPr>
            <a:ln w="19050" cap="rnd">
              <a:solidFill>
                <a:srgbClr val="C0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solidFill>
                  <a:srgbClr val="C00000"/>
                </a:solidFill>
              </a:ln>
              <a:effectLst/>
            </c:spPr>
          </c:marker>
          <c:xVal>
            <c:numRef>
              <c:f>Density!$A$31:$A$54</c:f>
              <c:numCache>
                <c:formatCode>_-* #,##0_-;\-* #,##0_-;_-* "-"??_-;_-@_-</c:formatCode>
                <c:ptCount val="24"/>
                <c:pt idx="0">
                  <c:v>156.25</c:v>
                </c:pt>
                <c:pt idx="1">
                  <c:v>123.45679012345678</c:v>
                </c:pt>
                <c:pt idx="2">
                  <c:v>100</c:v>
                </c:pt>
                <c:pt idx="3">
                  <c:v>82.644628099173573</c:v>
                </c:pt>
                <c:pt idx="4">
                  <c:v>69.444444444444457</c:v>
                </c:pt>
                <c:pt idx="5">
                  <c:v>59.171597633136095</c:v>
                </c:pt>
                <c:pt idx="6">
                  <c:v>51.020408163265309</c:v>
                </c:pt>
                <c:pt idx="7">
                  <c:v>44.44444444444445</c:v>
                </c:pt>
                <c:pt idx="8">
                  <c:v>39.0625</c:v>
                </c:pt>
                <c:pt idx="9">
                  <c:v>34.602076124567482</c:v>
                </c:pt>
                <c:pt idx="10">
                  <c:v>30.864197530864196</c:v>
                </c:pt>
                <c:pt idx="11">
                  <c:v>27.700831024930753</c:v>
                </c:pt>
                <c:pt idx="12">
                  <c:v>25</c:v>
                </c:pt>
                <c:pt idx="13">
                  <c:v>22.675736961451246</c:v>
                </c:pt>
                <c:pt idx="14">
                  <c:v>20.661157024793393</c:v>
                </c:pt>
                <c:pt idx="15">
                  <c:v>18.903591682419659</c:v>
                </c:pt>
                <c:pt idx="16">
                  <c:v>17.361111111111114</c:v>
                </c:pt>
                <c:pt idx="17">
                  <c:v>16</c:v>
                </c:pt>
                <c:pt idx="18">
                  <c:v>14.792899408284024</c:v>
                </c:pt>
                <c:pt idx="19">
                  <c:v>13.717421124828533</c:v>
                </c:pt>
                <c:pt idx="20">
                  <c:v>12.755102040816327</c:v>
                </c:pt>
                <c:pt idx="21">
                  <c:v>11.890606420927465</c:v>
                </c:pt>
                <c:pt idx="22">
                  <c:v>11.111111111111112</c:v>
                </c:pt>
                <c:pt idx="23">
                  <c:v>10.405827263267428</c:v>
                </c:pt>
              </c:numCache>
            </c:numRef>
          </c:xVal>
          <c:yVal>
            <c:numRef>
              <c:f>Density!$C$31:$C$54</c:f>
              <c:numCache>
                <c:formatCode>0%</c:formatCode>
                <c:ptCount val="24"/>
                <c:pt idx="0">
                  <c:v>-9.0862181746182616E-2</c:v>
                </c:pt>
                <c:pt idx="1">
                  <c:v>-8.1406126657782782E-2</c:v>
                </c:pt>
                <c:pt idx="2">
                  <c:v>-7.2035217692733716E-2</c:v>
                </c:pt>
                <c:pt idx="3">
                  <c:v>-6.2748309970605556E-2</c:v>
                </c:pt>
                <c:pt idx="4">
                  <c:v>-5.3544279044900979E-2</c:v>
                </c:pt>
                <c:pt idx="5">
                  <c:v>-4.442202044919439E-2</c:v>
                </c:pt>
                <c:pt idx="6">
                  <c:v>-3.5380449255323083E-2</c:v>
                </c:pt>
                <c:pt idx="7">
                  <c:v>-2.641849964323904E-2</c:v>
                </c:pt>
                <c:pt idx="8">
                  <c:v>-1.7535124482179875E-2</c:v>
                </c:pt>
                <c:pt idx="9">
                  <c:v>-8.7292949228115757E-3</c:v>
                </c:pt>
                <c:pt idx="10">
                  <c:v>0</c:v>
                </c:pt>
                <c:pt idx="11">
                  <c:v>8.6537537541030475E-3</c:v>
                </c:pt>
                <c:pt idx="12">
                  <c:v>1.7232942686969593E-2</c:v>
                </c:pt>
                <c:pt idx="13">
                  <c:v>2.5738526392910303E-2</c:v>
                </c:pt>
                <c:pt idx="14">
                  <c:v>3.4171448070871011E-2</c:v>
                </c:pt>
                <c:pt idx="15">
                  <c:v>4.2532634873103284E-2</c:v>
                </c:pt>
                <c:pt idx="16">
                  <c:v>5.0822998244972654E-2</c:v>
                </c:pt>
                <c:pt idx="17">
                  <c:v>5.9043434256170049E-2</c:v>
                </c:pt>
                <c:pt idx="18">
                  <c:v>6.7194823923574148E-2</c:v>
                </c:pt>
                <c:pt idx="19">
                  <c:v>7.5278033526014781E-2</c:v>
                </c:pt>
                <c:pt idx="20">
                  <c:v>8.329391491117244E-2</c:v>
                </c:pt>
                <c:pt idx="21">
                  <c:v>9.1243305794835458E-2</c:v>
                </c:pt>
                <c:pt idx="22">
                  <c:v>9.9127030052746326E-2</c:v>
                </c:pt>
                <c:pt idx="23">
                  <c:v>0.10694589800524208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D67-46D5-B353-3AF1F52F9734}"/>
            </c:ext>
          </c:extLst>
        </c:ser>
        <c:ser>
          <c:idx val="2"/>
          <c:order val="2"/>
          <c:tx>
            <c:strRef>
              <c:f>Density!$D$30</c:f>
              <c:strCache>
                <c:ptCount val="1"/>
                <c:pt idx="0">
                  <c:v>ASHP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Density!$A$31:$A$54</c:f>
              <c:numCache>
                <c:formatCode>_-* #,##0_-;\-* #,##0_-;_-* "-"??_-;_-@_-</c:formatCode>
                <c:ptCount val="24"/>
                <c:pt idx="0">
                  <c:v>156.25</c:v>
                </c:pt>
                <c:pt idx="1">
                  <c:v>123.45679012345678</c:v>
                </c:pt>
                <c:pt idx="2">
                  <c:v>100</c:v>
                </c:pt>
                <c:pt idx="3">
                  <c:v>82.644628099173573</c:v>
                </c:pt>
                <c:pt idx="4">
                  <c:v>69.444444444444457</c:v>
                </c:pt>
                <c:pt idx="5">
                  <c:v>59.171597633136095</c:v>
                </c:pt>
                <c:pt idx="6">
                  <c:v>51.020408163265309</c:v>
                </c:pt>
                <c:pt idx="7">
                  <c:v>44.44444444444445</c:v>
                </c:pt>
                <c:pt idx="8">
                  <c:v>39.0625</c:v>
                </c:pt>
                <c:pt idx="9">
                  <c:v>34.602076124567482</c:v>
                </c:pt>
                <c:pt idx="10">
                  <c:v>30.864197530864196</c:v>
                </c:pt>
                <c:pt idx="11">
                  <c:v>27.700831024930753</c:v>
                </c:pt>
                <c:pt idx="12">
                  <c:v>25</c:v>
                </c:pt>
                <c:pt idx="13">
                  <c:v>22.675736961451246</c:v>
                </c:pt>
                <c:pt idx="14">
                  <c:v>20.661157024793393</c:v>
                </c:pt>
                <c:pt idx="15">
                  <c:v>18.903591682419659</c:v>
                </c:pt>
                <c:pt idx="16">
                  <c:v>17.361111111111114</c:v>
                </c:pt>
                <c:pt idx="17">
                  <c:v>16</c:v>
                </c:pt>
                <c:pt idx="18">
                  <c:v>14.792899408284024</c:v>
                </c:pt>
                <c:pt idx="19">
                  <c:v>13.717421124828533</c:v>
                </c:pt>
                <c:pt idx="20">
                  <c:v>12.755102040816327</c:v>
                </c:pt>
                <c:pt idx="21">
                  <c:v>11.890606420927465</c:v>
                </c:pt>
                <c:pt idx="22">
                  <c:v>11.111111111111112</c:v>
                </c:pt>
                <c:pt idx="23">
                  <c:v>10.405827263267428</c:v>
                </c:pt>
              </c:numCache>
            </c:numRef>
          </c:xVal>
          <c:yVal>
            <c:numRef>
              <c:f>Density!$D$31:$D$54</c:f>
              <c:numCache>
                <c:formatCode>0%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D67-46D5-B353-3AF1F52F9734}"/>
            </c:ext>
          </c:extLst>
        </c:ser>
        <c:ser>
          <c:idx val="3"/>
          <c:order val="3"/>
          <c:tx>
            <c:strRef>
              <c:f>Density!$E$30</c:f>
              <c:strCache>
                <c:ptCount val="1"/>
                <c:pt idx="0">
                  <c:v>GB</c:v>
                </c:pt>
              </c:strCache>
            </c:strRef>
          </c:tx>
          <c:spPr>
            <a:ln w="19050" cap="rnd">
              <a:solidFill>
                <a:srgbClr val="FFC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solidFill>
                  <a:srgbClr val="FFC000"/>
                </a:solidFill>
              </a:ln>
              <a:effectLst/>
            </c:spPr>
          </c:marker>
          <c:xVal>
            <c:numRef>
              <c:f>Density!$A$31:$A$54</c:f>
              <c:numCache>
                <c:formatCode>_-* #,##0_-;\-* #,##0_-;_-* "-"??_-;_-@_-</c:formatCode>
                <c:ptCount val="24"/>
                <c:pt idx="0">
                  <c:v>156.25</c:v>
                </c:pt>
                <c:pt idx="1">
                  <c:v>123.45679012345678</c:v>
                </c:pt>
                <c:pt idx="2">
                  <c:v>100</c:v>
                </c:pt>
                <c:pt idx="3">
                  <c:v>82.644628099173573</c:v>
                </c:pt>
                <c:pt idx="4">
                  <c:v>69.444444444444457</c:v>
                </c:pt>
                <c:pt idx="5">
                  <c:v>59.171597633136095</c:v>
                </c:pt>
                <c:pt idx="6">
                  <c:v>51.020408163265309</c:v>
                </c:pt>
                <c:pt idx="7">
                  <c:v>44.44444444444445</c:v>
                </c:pt>
                <c:pt idx="8">
                  <c:v>39.0625</c:v>
                </c:pt>
                <c:pt idx="9">
                  <c:v>34.602076124567482</c:v>
                </c:pt>
                <c:pt idx="10">
                  <c:v>30.864197530864196</c:v>
                </c:pt>
                <c:pt idx="11">
                  <c:v>27.700831024930753</c:v>
                </c:pt>
                <c:pt idx="12">
                  <c:v>25</c:v>
                </c:pt>
                <c:pt idx="13">
                  <c:v>22.675736961451246</c:v>
                </c:pt>
                <c:pt idx="14">
                  <c:v>20.661157024793393</c:v>
                </c:pt>
                <c:pt idx="15">
                  <c:v>18.903591682419659</c:v>
                </c:pt>
                <c:pt idx="16">
                  <c:v>17.361111111111114</c:v>
                </c:pt>
                <c:pt idx="17">
                  <c:v>16</c:v>
                </c:pt>
                <c:pt idx="18">
                  <c:v>14.792899408284024</c:v>
                </c:pt>
                <c:pt idx="19">
                  <c:v>13.717421124828533</c:v>
                </c:pt>
                <c:pt idx="20">
                  <c:v>12.755102040816327</c:v>
                </c:pt>
                <c:pt idx="21">
                  <c:v>11.890606420927465</c:v>
                </c:pt>
                <c:pt idx="22">
                  <c:v>11.111111111111112</c:v>
                </c:pt>
                <c:pt idx="23">
                  <c:v>10.405827263267428</c:v>
                </c:pt>
              </c:numCache>
            </c:numRef>
          </c:xVal>
          <c:yVal>
            <c:numRef>
              <c:f>Density!$E$31:$E$54</c:f>
              <c:numCache>
                <c:formatCode>0%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1D67-46D5-B353-3AF1F52F97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1639712"/>
        <c:axId val="481637416"/>
      </c:scatterChart>
      <c:valAx>
        <c:axId val="48163971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ysClr val="windowText" lastClr="000000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n-GB"/>
                  <a:t>Houses per Hectare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ysClr val="windowText" lastClr="000000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en-US"/>
            </a:p>
          </c:txPr>
        </c:title>
        <c:numFmt formatCode="_-* #,##0_-;\-* #,##0_-;_-* &quot;-&quot;??_-;_-@_-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ysClr val="windowText" lastClr="000000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  <c:crossAx val="481637416"/>
        <c:crosses val="autoZero"/>
        <c:crossBetween val="midCat"/>
      </c:valAx>
      <c:valAx>
        <c:axId val="4816374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ysClr val="windowText" lastClr="000000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n-GB"/>
                  <a:t>Variation from average Density's NPV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ysClr val="windowText" lastClr="000000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en-US"/>
            </a:p>
          </c:txPr>
        </c:title>
        <c:numFmt formatCode="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ysClr val="windowText" lastClr="000000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  <c:crossAx val="48163971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ysClr val="windowText" lastClr="000000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 b="1">
          <a:solidFill>
            <a:sysClr val="windowText" lastClr="000000"/>
          </a:solidFill>
          <a:latin typeface="Times New Roman" panose="02020603050405020304" pitchFamily="18" charset="0"/>
          <a:cs typeface="Times New Roman" panose="02020603050405020304" pitchFamily="18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Connections!$G$3</c:f>
              <c:strCache>
                <c:ptCount val="1"/>
                <c:pt idx="0">
                  <c:v>DH</c:v>
                </c:pt>
              </c:strCache>
            </c:strRef>
          </c:tx>
          <c:spPr>
            <a:ln w="19050" cap="rnd">
              <a:solidFill>
                <a:srgbClr val="00206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2060"/>
              </a:solidFill>
              <a:ln w="9525">
                <a:solidFill>
                  <a:srgbClr val="002060"/>
                </a:solidFill>
              </a:ln>
              <a:effectLst/>
            </c:spPr>
          </c:marker>
          <c:xVal>
            <c:numRef>
              <c:f>Connections!$A$4:$A$24</c:f>
              <c:numCache>
                <c:formatCode>_-* #,##0_-;\-* #,##0_-;_-* "-"??_-;_-@_-</c:formatCode>
                <c:ptCount val="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</c:numCache>
            </c:numRef>
          </c:xVal>
          <c:yVal>
            <c:numRef>
              <c:f>Connections!$G$4:$G$24</c:f>
              <c:numCache>
                <c:formatCode>0%</c:formatCode>
                <c:ptCount val="21"/>
                <c:pt idx="0">
                  <c:v>0</c:v>
                </c:pt>
                <c:pt idx="1">
                  <c:v>0.23548346366015388</c:v>
                </c:pt>
                <c:pt idx="2">
                  <c:v>0.42044751328420082</c:v>
                </c:pt>
                <c:pt idx="3">
                  <c:v>0.56964052070589333</c:v>
                </c:pt>
                <c:pt idx="4">
                  <c:v>0.69251822468326241</c:v>
                </c:pt>
                <c:pt idx="5">
                  <c:v>0.79542063326440771</c:v>
                </c:pt>
                <c:pt idx="6">
                  <c:v>0.88289381721846949</c:v>
                </c:pt>
                <c:pt idx="7">
                  <c:v>0.95814246844570439</c:v>
                </c:pt>
                <c:pt idx="8">
                  <c:v>1.0235651826867469</c:v>
                </c:pt>
                <c:pt idx="9">
                  <c:v>1.0809742719821211</c:v>
                </c:pt>
                <c:pt idx="10">
                  <c:v>1.1317492051018554</c:v>
                </c:pt>
                <c:pt idx="11">
                  <c:v>1.1769864028676467</c:v>
                </c:pt>
                <c:pt idx="12">
                  <c:v>1.2175287205755336</c:v>
                </c:pt>
                <c:pt idx="13">
                  <c:v>1.2540840228648844</c:v>
                </c:pt>
                <c:pt idx="14">
                  <c:v>1.2872001654643912</c:v>
                </c:pt>
                <c:pt idx="15">
                  <c:v>1.3173455825096148</c:v>
                </c:pt>
                <c:pt idx="16">
                  <c:v>1.3448992623653921</c:v>
                </c:pt>
                <c:pt idx="17">
                  <c:v>1.3701830917365265</c:v>
                </c:pt>
                <c:pt idx="18">
                  <c:v>1.3934624099963204</c:v>
                </c:pt>
                <c:pt idx="19">
                  <c:v>1.4149676489221192</c:v>
                </c:pt>
                <c:pt idx="20">
                  <c:v>1.4348955966601942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D4F-4C7F-8B9C-51F604203DC5}"/>
            </c:ext>
          </c:extLst>
        </c:ser>
        <c:ser>
          <c:idx val="1"/>
          <c:order val="1"/>
          <c:tx>
            <c:strRef>
              <c:f>Connections!$H$3</c:f>
              <c:strCache>
                <c:ptCount val="1"/>
                <c:pt idx="0">
                  <c:v>AN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Connections!$A$4:$A$24</c:f>
              <c:numCache>
                <c:formatCode>_-* #,##0_-;\-* #,##0_-;_-* "-"??_-;_-@_-</c:formatCode>
                <c:ptCount val="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</c:numCache>
            </c:numRef>
          </c:xVal>
          <c:yVal>
            <c:numRef>
              <c:f>Connections!$H$4:$H$24</c:f>
              <c:numCache>
                <c:formatCode>0%</c:formatCode>
                <c:ptCount val="21"/>
                <c:pt idx="0">
                  <c:v>0</c:v>
                </c:pt>
                <c:pt idx="1">
                  <c:v>0.21806643288308378</c:v>
                </c:pt>
                <c:pt idx="2">
                  <c:v>0.37192982863489471</c:v>
                </c:pt>
                <c:pt idx="3">
                  <c:v>0.51274956345925449</c:v>
                </c:pt>
                <c:pt idx="4">
                  <c:v>0.6346001236887131</c:v>
                </c:pt>
                <c:pt idx="5">
                  <c:v>0.73809891495591118</c:v>
                </c:pt>
                <c:pt idx="6">
                  <c:v>0.7774806529149958</c:v>
                </c:pt>
                <c:pt idx="7">
                  <c:v>0.85870794053965138</c:v>
                </c:pt>
                <c:pt idx="8">
                  <c:v>0.92983156097023356</c:v>
                </c:pt>
                <c:pt idx="9">
                  <c:v>0.99265867000947738</c:v>
                </c:pt>
                <c:pt idx="10">
                  <c:v>1.04847877098541</c:v>
                </c:pt>
                <c:pt idx="11">
                  <c:v>1.0987619130455215</c:v>
                </c:pt>
                <c:pt idx="12">
                  <c:v>1.1440105945716752</c:v>
                </c:pt>
                <c:pt idx="13">
                  <c:v>1.1846666225649849</c:v>
                </c:pt>
                <c:pt idx="14">
                  <c:v>1.2216178141873868</c:v>
                </c:pt>
                <c:pt idx="15">
                  <c:v>1.2355290430265105</c:v>
                </c:pt>
                <c:pt idx="16">
                  <c:v>1.2672794953795736</c:v>
                </c:pt>
                <c:pt idx="17">
                  <c:v>1.2963835502977474</c:v>
                </c:pt>
                <c:pt idx="18">
                  <c:v>1.323258584381992</c:v>
                </c:pt>
                <c:pt idx="19">
                  <c:v>1.3481735988001673</c:v>
                </c:pt>
                <c:pt idx="20">
                  <c:v>1.3712995147181324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D4F-4C7F-8B9C-51F604203DC5}"/>
            </c:ext>
          </c:extLst>
        </c:ser>
        <c:ser>
          <c:idx val="2"/>
          <c:order val="2"/>
          <c:tx>
            <c:strRef>
              <c:f>Connections!$I$3</c:f>
              <c:strCache>
                <c:ptCount val="1"/>
                <c:pt idx="0">
                  <c:v>ASHP</c:v>
                </c:pt>
              </c:strCache>
            </c:strRef>
          </c:tx>
          <c:spPr>
            <a:ln w="19050" cap="rnd">
              <a:solidFill>
                <a:srgbClr val="92D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92D050"/>
              </a:solidFill>
              <a:ln w="9525">
                <a:solidFill>
                  <a:srgbClr val="92D050"/>
                </a:solidFill>
              </a:ln>
              <a:effectLst/>
            </c:spPr>
          </c:marker>
          <c:xVal>
            <c:numRef>
              <c:f>Connections!$A$4:$A$24</c:f>
              <c:numCache>
                <c:formatCode>_-* #,##0_-;\-* #,##0_-;_-* "-"??_-;_-@_-</c:formatCode>
                <c:ptCount val="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</c:numCache>
            </c:numRef>
          </c:xVal>
          <c:yVal>
            <c:numRef>
              <c:f>Connections!$I$4:$I$24</c:f>
              <c:numCache>
                <c:formatCode>0%</c:formatCode>
                <c:ptCount val="21"/>
                <c:pt idx="0">
                  <c:v>0</c:v>
                </c:pt>
                <c:pt idx="1">
                  <c:v>0.21809252488231162</c:v>
                </c:pt>
                <c:pt idx="2">
                  <c:v>0.42385256355856071</c:v>
                </c:pt>
                <c:pt idx="3">
                  <c:v>0.63932078977410067</c:v>
                </c:pt>
                <c:pt idx="4">
                  <c:v>0.81858545356992851</c:v>
                </c:pt>
                <c:pt idx="5">
                  <c:v>0.99555195418744902</c:v>
                </c:pt>
                <c:pt idx="6">
                  <c:v>1.1434838601814101</c:v>
                </c:pt>
                <c:pt idx="7">
                  <c:v>1.2526028314646316</c:v>
                </c:pt>
                <c:pt idx="8">
                  <c:v>1.3444364744896817</c:v>
                </c:pt>
                <c:pt idx="9">
                  <c:v>1.421900411078558</c:v>
                </c:pt>
                <c:pt idx="10">
                  <c:v>1.4874892117379734</c:v>
                </c:pt>
                <c:pt idx="11">
                  <c:v>1.5432795628753839</c:v>
                </c:pt>
                <c:pt idx="12">
                  <c:v>1.5911773386993311</c:v>
                </c:pt>
                <c:pt idx="13">
                  <c:v>1.6321344203656178</c:v>
                </c:pt>
                <c:pt idx="14">
                  <c:v>1.667519175342177</c:v>
                </c:pt>
                <c:pt idx="15">
                  <c:v>1.699631539322416</c:v>
                </c:pt>
                <c:pt idx="16">
                  <c:v>1.726513188154198</c:v>
                </c:pt>
                <c:pt idx="17">
                  <c:v>1.7500019907751991</c:v>
                </c:pt>
                <c:pt idx="18">
                  <c:v>1.7706842100167886</c:v>
                </c:pt>
                <c:pt idx="19">
                  <c:v>1.7889753996993352</c:v>
                </c:pt>
                <c:pt idx="20">
                  <c:v>1.8052196363219224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D4F-4C7F-8B9C-51F604203DC5}"/>
            </c:ext>
          </c:extLst>
        </c:ser>
        <c:ser>
          <c:idx val="3"/>
          <c:order val="3"/>
          <c:tx>
            <c:strRef>
              <c:f>Connections!$J$3</c:f>
              <c:strCache>
                <c:ptCount val="1"/>
                <c:pt idx="0">
                  <c:v>GB</c:v>
                </c:pt>
              </c:strCache>
            </c:strRef>
          </c:tx>
          <c:spPr>
            <a:ln w="19050" cap="rnd">
              <a:solidFill>
                <a:srgbClr val="FFC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solidFill>
                  <a:srgbClr val="FFC000"/>
                </a:solidFill>
              </a:ln>
              <a:effectLst/>
            </c:spPr>
          </c:marker>
          <c:xVal>
            <c:numRef>
              <c:f>Connections!$A$4:$A$24</c:f>
              <c:numCache>
                <c:formatCode>_-* #,##0_-;\-* #,##0_-;_-* "-"??_-;_-@_-</c:formatCode>
                <c:ptCount val="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</c:numCache>
            </c:numRef>
          </c:xVal>
          <c:yVal>
            <c:numRef>
              <c:f>Connections!$J$4:$J$24</c:f>
              <c:numCache>
                <c:formatCode>0%</c:formatCode>
                <c:ptCount val="21"/>
                <c:pt idx="0">
                  <c:v>0</c:v>
                </c:pt>
                <c:pt idx="1">
                  <c:v>0.26804337554192453</c:v>
                </c:pt>
                <c:pt idx="2">
                  <c:v>0.47273059842231363</c:v>
                </c:pt>
                <c:pt idx="3">
                  <c:v>0.63415033123934894</c:v>
                </c:pt>
                <c:pt idx="4">
                  <c:v>0.76471023365656021</c:v>
                </c:pt>
                <c:pt idx="5">
                  <c:v>0.87248775289805547</c:v>
                </c:pt>
                <c:pt idx="6">
                  <c:v>0.96296756296514829</c:v>
                </c:pt>
                <c:pt idx="7">
                  <c:v>1.0400045989491242</c:v>
                </c:pt>
                <c:pt idx="8">
                  <c:v>1.1063875329099742</c:v>
                </c:pt>
                <c:pt idx="9">
                  <c:v>1.1641835866319692</c:v>
                </c:pt>
                <c:pt idx="10">
                  <c:v>1.214957664509172</c:v>
                </c:pt>
                <c:pt idx="11">
                  <c:v>1.259916189411834</c:v>
                </c:pt>
                <c:pt idx="12">
                  <c:v>1.3000041917454837</c:v>
                </c:pt>
                <c:pt idx="13">
                  <c:v>1.3359724658231626</c:v>
                </c:pt>
                <c:pt idx="14">
                  <c:v>1.3684250337103241</c:v>
                </c:pt>
                <c:pt idx="15">
                  <c:v>1.3978533395709045</c:v>
                </c:pt>
                <c:pt idx="16">
                  <c:v>1.4246613098830487</c:v>
                </c:pt>
                <c:pt idx="17">
                  <c:v>1.4491840047965214</c:v>
                </c:pt>
                <c:pt idx="18">
                  <c:v>1.4717016946177299</c:v>
                </c:pt>
                <c:pt idx="19">
                  <c:v>1.4924506191696791</c:v>
                </c:pt>
                <c:pt idx="20">
                  <c:v>1.5116313075241188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DD4F-4C7F-8B9C-51F604203D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81742384"/>
        <c:axId val="881740744"/>
      </c:scatterChart>
      <c:valAx>
        <c:axId val="88174238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ysClr val="windowText" lastClr="000000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n-GB"/>
                  <a:t>Number of connections per property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ysClr val="windowText" lastClr="000000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en-US"/>
            </a:p>
          </c:txPr>
        </c:title>
        <c:numFmt formatCode="_-* #,##0_-;\-* #,##0_-;_-* &quot;-&quot;??_-;_-@_-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ysClr val="windowText" lastClr="000000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  <c:crossAx val="881740744"/>
        <c:crosses val="autoZero"/>
        <c:crossBetween val="midCat"/>
      </c:valAx>
      <c:valAx>
        <c:axId val="8817407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ysClr val="windowText" lastClr="000000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n-GB"/>
                  <a:t>Variation from initial NPV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ysClr val="windowText" lastClr="000000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en-US"/>
            </a:p>
          </c:txPr>
        </c:title>
        <c:numFmt formatCode="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ysClr val="windowText" lastClr="000000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  <c:crossAx val="88174238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ysClr val="windowText" lastClr="000000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 b="1">
          <a:solidFill>
            <a:sysClr val="windowText" lastClr="000000"/>
          </a:solidFill>
          <a:latin typeface="Times New Roman" panose="02020603050405020304" pitchFamily="18" charset="0"/>
          <a:cs typeface="Times New Roman" panose="02020603050405020304" pitchFamily="18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Properties!$G$3</c:f>
              <c:strCache>
                <c:ptCount val="1"/>
                <c:pt idx="0">
                  <c:v>DH</c:v>
                </c:pt>
              </c:strCache>
            </c:strRef>
          </c:tx>
          <c:spPr>
            <a:ln w="19050" cap="rnd">
              <a:solidFill>
                <a:srgbClr val="00206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2060"/>
              </a:solidFill>
              <a:ln w="9525">
                <a:solidFill>
                  <a:srgbClr val="002060"/>
                </a:solidFill>
              </a:ln>
              <a:effectLst/>
            </c:spPr>
          </c:marker>
          <c:xVal>
            <c:numRef>
              <c:f>Properties!$A$4:$A$27</c:f>
              <c:numCache>
                <c:formatCode>0%</c:formatCode>
                <c:ptCount val="24"/>
                <c:pt idx="0">
                  <c:v>0.2</c:v>
                </c:pt>
                <c:pt idx="1">
                  <c:v>0.3</c:v>
                </c:pt>
                <c:pt idx="2">
                  <c:v>0.5</c:v>
                </c:pt>
                <c:pt idx="3">
                  <c:v>0.55000000000000004</c:v>
                </c:pt>
                <c:pt idx="4">
                  <c:v>0.6</c:v>
                </c:pt>
                <c:pt idx="5">
                  <c:v>0.65</c:v>
                </c:pt>
                <c:pt idx="6">
                  <c:v>0.7</c:v>
                </c:pt>
                <c:pt idx="7">
                  <c:v>0.75</c:v>
                </c:pt>
                <c:pt idx="8">
                  <c:v>0.8</c:v>
                </c:pt>
                <c:pt idx="9">
                  <c:v>0.85</c:v>
                </c:pt>
                <c:pt idx="10">
                  <c:v>0.9</c:v>
                </c:pt>
                <c:pt idx="11">
                  <c:v>0.95</c:v>
                </c:pt>
                <c:pt idx="12">
                  <c:v>1</c:v>
                </c:pt>
                <c:pt idx="13">
                  <c:v>1.05</c:v>
                </c:pt>
                <c:pt idx="14">
                  <c:v>1.1000000000000001</c:v>
                </c:pt>
                <c:pt idx="15">
                  <c:v>1.1499999999999999</c:v>
                </c:pt>
                <c:pt idx="16">
                  <c:v>1.2</c:v>
                </c:pt>
                <c:pt idx="17">
                  <c:v>1.25</c:v>
                </c:pt>
                <c:pt idx="18">
                  <c:v>1.3</c:v>
                </c:pt>
                <c:pt idx="19">
                  <c:v>1.35</c:v>
                </c:pt>
                <c:pt idx="20">
                  <c:v>1.4</c:v>
                </c:pt>
                <c:pt idx="21">
                  <c:v>1.45</c:v>
                </c:pt>
                <c:pt idx="22">
                  <c:v>1.5</c:v>
                </c:pt>
                <c:pt idx="23">
                  <c:v>2</c:v>
                </c:pt>
              </c:numCache>
            </c:numRef>
          </c:xVal>
          <c:yVal>
            <c:numRef>
              <c:f>Properties!$G$4:$G$27</c:f>
              <c:numCache>
                <c:formatCode>0%</c:formatCode>
                <c:ptCount val="24"/>
                <c:pt idx="0">
                  <c:v>-1.2997481234392849</c:v>
                </c:pt>
                <c:pt idx="1">
                  <c:v>-1.0525305914779353</c:v>
                </c:pt>
                <c:pt idx="2">
                  <c:v>-0.65293029319279794</c:v>
                </c:pt>
                <c:pt idx="3">
                  <c:v>-0.55814669936119177</c:v>
                </c:pt>
                <c:pt idx="4">
                  <c:v>-0.49001177706034643</c:v>
                </c:pt>
                <c:pt idx="5">
                  <c:v>-0.42986469821915341</c:v>
                </c:pt>
                <c:pt idx="6">
                  <c:v>-0.34598036835882612</c:v>
                </c:pt>
                <c:pt idx="7">
                  <c:v>-0.2683674785210961</c:v>
                </c:pt>
                <c:pt idx="8">
                  <c:v>-0.21841222699726223</c:v>
                </c:pt>
                <c:pt idx="9">
                  <c:v>-0.16702560112314777</c:v>
                </c:pt>
                <c:pt idx="10">
                  <c:v>-0.10352260557860384</c:v>
                </c:pt>
                <c:pt idx="11">
                  <c:v>-4.0461536812460008E-2</c:v>
                </c:pt>
                <c:pt idx="12">
                  <c:v>0</c:v>
                </c:pt>
                <c:pt idx="13">
                  <c:v>3.4536041829470412E-2</c:v>
                </c:pt>
                <c:pt idx="14">
                  <c:v>7.8893965320254736E-2</c:v>
                </c:pt>
                <c:pt idx="15">
                  <c:v>0.1151406847018365</c:v>
                </c:pt>
                <c:pt idx="16">
                  <c:v>0.1461054438869418</c:v>
                </c:pt>
                <c:pt idx="17">
                  <c:v>0.17063534072025865</c:v>
                </c:pt>
                <c:pt idx="18">
                  <c:v>0.2082624735225001</c:v>
                </c:pt>
                <c:pt idx="19">
                  <c:v>0.244704671166251</c:v>
                </c:pt>
                <c:pt idx="20">
                  <c:v>0.26662031826082561</c:v>
                </c:pt>
                <c:pt idx="21">
                  <c:v>0.28961044670929453</c:v>
                </c:pt>
                <c:pt idx="22">
                  <c:v>0.32111642817092584</c:v>
                </c:pt>
                <c:pt idx="23">
                  <c:v>0.54870186691643597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607-40B6-A5C6-8BB7981BF0F2}"/>
            </c:ext>
          </c:extLst>
        </c:ser>
        <c:ser>
          <c:idx val="1"/>
          <c:order val="1"/>
          <c:tx>
            <c:strRef>
              <c:f>Properties!$H$3</c:f>
              <c:strCache>
                <c:ptCount val="1"/>
                <c:pt idx="0">
                  <c:v>AN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Properties!$A$4:$A$27</c:f>
              <c:numCache>
                <c:formatCode>0%</c:formatCode>
                <c:ptCount val="24"/>
                <c:pt idx="0">
                  <c:v>0.2</c:v>
                </c:pt>
                <c:pt idx="1">
                  <c:v>0.3</c:v>
                </c:pt>
                <c:pt idx="2">
                  <c:v>0.5</c:v>
                </c:pt>
                <c:pt idx="3">
                  <c:v>0.55000000000000004</c:v>
                </c:pt>
                <c:pt idx="4">
                  <c:v>0.6</c:v>
                </c:pt>
                <c:pt idx="5">
                  <c:v>0.65</c:v>
                </c:pt>
                <c:pt idx="6">
                  <c:v>0.7</c:v>
                </c:pt>
                <c:pt idx="7">
                  <c:v>0.75</c:v>
                </c:pt>
                <c:pt idx="8">
                  <c:v>0.8</c:v>
                </c:pt>
                <c:pt idx="9">
                  <c:v>0.85</c:v>
                </c:pt>
                <c:pt idx="10">
                  <c:v>0.9</c:v>
                </c:pt>
                <c:pt idx="11">
                  <c:v>0.95</c:v>
                </c:pt>
                <c:pt idx="12">
                  <c:v>1</c:v>
                </c:pt>
                <c:pt idx="13">
                  <c:v>1.05</c:v>
                </c:pt>
                <c:pt idx="14">
                  <c:v>1.1000000000000001</c:v>
                </c:pt>
                <c:pt idx="15">
                  <c:v>1.1499999999999999</c:v>
                </c:pt>
                <c:pt idx="16">
                  <c:v>1.2</c:v>
                </c:pt>
                <c:pt idx="17">
                  <c:v>1.25</c:v>
                </c:pt>
                <c:pt idx="18">
                  <c:v>1.3</c:v>
                </c:pt>
                <c:pt idx="19">
                  <c:v>1.35</c:v>
                </c:pt>
                <c:pt idx="20">
                  <c:v>1.4</c:v>
                </c:pt>
                <c:pt idx="21">
                  <c:v>1.45</c:v>
                </c:pt>
                <c:pt idx="22">
                  <c:v>1.5</c:v>
                </c:pt>
                <c:pt idx="23">
                  <c:v>2</c:v>
                </c:pt>
              </c:numCache>
            </c:numRef>
          </c:xVal>
          <c:yVal>
            <c:numRef>
              <c:f>Properties!$H$4:$H$27</c:f>
              <c:numCache>
                <c:formatCode>0%</c:formatCode>
                <c:ptCount val="24"/>
                <c:pt idx="0">
                  <c:v>-1.2731949984068895</c:v>
                </c:pt>
                <c:pt idx="1">
                  <c:v>-1.0052784501509273</c:v>
                </c:pt>
                <c:pt idx="2">
                  <c:v>-0.58188577935216712</c:v>
                </c:pt>
                <c:pt idx="3">
                  <c:v>-0.51354725013274949</c:v>
                </c:pt>
                <c:pt idx="4">
                  <c:v>-0.44932121375190814</c:v>
                </c:pt>
                <c:pt idx="5">
                  <c:v>-0.39219790257247478</c:v>
                </c:pt>
                <c:pt idx="6">
                  <c:v>-0.31623736563443627</c:v>
                </c:pt>
                <c:pt idx="7">
                  <c:v>-0.24542496238888126</c:v>
                </c:pt>
                <c:pt idx="8">
                  <c:v>-0.19716167366392753</c:v>
                </c:pt>
                <c:pt idx="9">
                  <c:v>-0.14890835945557995</c:v>
                </c:pt>
                <c:pt idx="10">
                  <c:v>-9.3037654397657682E-2</c:v>
                </c:pt>
                <c:pt idx="11">
                  <c:v>-3.7270436812189403E-2</c:v>
                </c:pt>
                <c:pt idx="12">
                  <c:v>0</c:v>
                </c:pt>
                <c:pt idx="13">
                  <c:v>3.2960057191267586E-2</c:v>
                </c:pt>
                <c:pt idx="14">
                  <c:v>7.4526479857587355E-2</c:v>
                </c:pt>
                <c:pt idx="15">
                  <c:v>0.10934157248046816</c:v>
                </c:pt>
                <c:pt idx="16">
                  <c:v>0.14046946575043809</c:v>
                </c:pt>
                <c:pt idx="17">
                  <c:v>0.16549960521355106</c:v>
                </c:pt>
                <c:pt idx="18">
                  <c:v>0.20164668106940004</c:v>
                </c:pt>
                <c:pt idx="19">
                  <c:v>0.23651774276893989</c:v>
                </c:pt>
                <c:pt idx="20">
                  <c:v>0.25903249850445548</c:v>
                </c:pt>
                <c:pt idx="21">
                  <c:v>0.28427529762506509</c:v>
                </c:pt>
                <c:pt idx="22">
                  <c:v>0.31688311900544258</c:v>
                </c:pt>
                <c:pt idx="23">
                  <c:v>0.56156837240357127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607-40B6-A5C6-8BB7981BF0F2}"/>
            </c:ext>
          </c:extLst>
        </c:ser>
        <c:ser>
          <c:idx val="2"/>
          <c:order val="2"/>
          <c:tx>
            <c:strRef>
              <c:f>Properties!$I$3</c:f>
              <c:strCache>
                <c:ptCount val="1"/>
                <c:pt idx="0">
                  <c:v>ASHP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Properties!$A$4:$A$27</c:f>
              <c:numCache>
                <c:formatCode>0%</c:formatCode>
                <c:ptCount val="24"/>
                <c:pt idx="0">
                  <c:v>0.2</c:v>
                </c:pt>
                <c:pt idx="1">
                  <c:v>0.3</c:v>
                </c:pt>
                <c:pt idx="2">
                  <c:v>0.5</c:v>
                </c:pt>
                <c:pt idx="3">
                  <c:v>0.55000000000000004</c:v>
                </c:pt>
                <c:pt idx="4">
                  <c:v>0.6</c:v>
                </c:pt>
                <c:pt idx="5">
                  <c:v>0.65</c:v>
                </c:pt>
                <c:pt idx="6">
                  <c:v>0.7</c:v>
                </c:pt>
                <c:pt idx="7">
                  <c:v>0.75</c:v>
                </c:pt>
                <c:pt idx="8">
                  <c:v>0.8</c:v>
                </c:pt>
                <c:pt idx="9">
                  <c:v>0.85</c:v>
                </c:pt>
                <c:pt idx="10">
                  <c:v>0.9</c:v>
                </c:pt>
                <c:pt idx="11">
                  <c:v>0.95</c:v>
                </c:pt>
                <c:pt idx="12">
                  <c:v>1</c:v>
                </c:pt>
                <c:pt idx="13">
                  <c:v>1.05</c:v>
                </c:pt>
                <c:pt idx="14">
                  <c:v>1.1000000000000001</c:v>
                </c:pt>
                <c:pt idx="15">
                  <c:v>1.1499999999999999</c:v>
                </c:pt>
                <c:pt idx="16">
                  <c:v>1.2</c:v>
                </c:pt>
                <c:pt idx="17">
                  <c:v>1.25</c:v>
                </c:pt>
                <c:pt idx="18">
                  <c:v>1.3</c:v>
                </c:pt>
                <c:pt idx="19">
                  <c:v>1.35</c:v>
                </c:pt>
                <c:pt idx="20">
                  <c:v>1.4</c:v>
                </c:pt>
                <c:pt idx="21">
                  <c:v>1.45</c:v>
                </c:pt>
                <c:pt idx="22">
                  <c:v>1.5</c:v>
                </c:pt>
                <c:pt idx="23">
                  <c:v>2</c:v>
                </c:pt>
              </c:numCache>
            </c:numRef>
          </c:xVal>
          <c:yVal>
            <c:numRef>
              <c:f>Properties!$I$4:$I$27</c:f>
              <c:numCache>
                <c:formatCode>0%</c:formatCode>
                <c:ptCount val="24"/>
                <c:pt idx="0">
                  <c:v>-1.3295498414006701</c:v>
                </c:pt>
                <c:pt idx="1">
                  <c:v>-1.0744391753104818</c:v>
                </c:pt>
                <c:pt idx="2">
                  <c:v>-0.66523697364298151</c:v>
                </c:pt>
                <c:pt idx="3">
                  <c:v>-0.55678725900057768</c:v>
                </c:pt>
                <c:pt idx="4">
                  <c:v>-0.49893513747541973</c:v>
                </c:pt>
                <c:pt idx="5">
                  <c:v>-0.44538561009966487</c:v>
                </c:pt>
                <c:pt idx="6">
                  <c:v>-0.35216776830289431</c:v>
                </c:pt>
                <c:pt idx="7">
                  <c:v>-0.26604036442147572</c:v>
                </c:pt>
                <c:pt idx="8">
                  <c:v>-0.22191897646833181</c:v>
                </c:pt>
                <c:pt idx="9">
                  <c:v>-0.17809866307547947</c:v>
                </c:pt>
                <c:pt idx="10">
                  <c:v>-0.10512706553832027</c:v>
                </c:pt>
                <c:pt idx="11">
                  <c:v>-3.5677321355321541E-2</c:v>
                </c:pt>
                <c:pt idx="12">
                  <c:v>0</c:v>
                </c:pt>
                <c:pt idx="13">
                  <c:v>3.44482983451182E-2</c:v>
                </c:pt>
                <c:pt idx="14">
                  <c:v>9.5126677118444622E-2</c:v>
                </c:pt>
                <c:pt idx="15">
                  <c:v>0.14524151803959054</c:v>
                </c:pt>
                <c:pt idx="16">
                  <c:v>0.1816151322158287</c:v>
                </c:pt>
                <c:pt idx="17">
                  <c:v>0.21013576809854612</c:v>
                </c:pt>
                <c:pt idx="18">
                  <c:v>0.26044679998909764</c:v>
                </c:pt>
                <c:pt idx="19">
                  <c:v>0.30814310519456894</c:v>
                </c:pt>
                <c:pt idx="20">
                  <c:v>0.33285972488158772</c:v>
                </c:pt>
                <c:pt idx="21">
                  <c:v>0.3576514747159571</c:v>
                </c:pt>
                <c:pt idx="22">
                  <c:v>0.3994848686236267</c:v>
                </c:pt>
                <c:pt idx="23">
                  <c:v>0.66595105282373102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607-40B6-A5C6-8BB7981BF0F2}"/>
            </c:ext>
          </c:extLst>
        </c:ser>
        <c:ser>
          <c:idx val="3"/>
          <c:order val="3"/>
          <c:tx>
            <c:strRef>
              <c:f>Properties!$J$3</c:f>
              <c:strCache>
                <c:ptCount val="1"/>
                <c:pt idx="0">
                  <c:v>GB</c:v>
                </c:pt>
              </c:strCache>
            </c:strRef>
          </c:tx>
          <c:spPr>
            <a:ln w="19050" cap="rnd">
              <a:solidFill>
                <a:srgbClr val="FFC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solidFill>
                  <a:srgbClr val="FFC000"/>
                </a:solidFill>
              </a:ln>
              <a:effectLst/>
            </c:spPr>
          </c:marker>
          <c:xVal>
            <c:numRef>
              <c:f>Properties!$A$4:$A$27</c:f>
              <c:numCache>
                <c:formatCode>0%</c:formatCode>
                <c:ptCount val="24"/>
                <c:pt idx="0">
                  <c:v>0.2</c:v>
                </c:pt>
                <c:pt idx="1">
                  <c:v>0.3</c:v>
                </c:pt>
                <c:pt idx="2">
                  <c:v>0.5</c:v>
                </c:pt>
                <c:pt idx="3">
                  <c:v>0.55000000000000004</c:v>
                </c:pt>
                <c:pt idx="4">
                  <c:v>0.6</c:v>
                </c:pt>
                <c:pt idx="5">
                  <c:v>0.65</c:v>
                </c:pt>
                <c:pt idx="6">
                  <c:v>0.7</c:v>
                </c:pt>
                <c:pt idx="7">
                  <c:v>0.75</c:v>
                </c:pt>
                <c:pt idx="8">
                  <c:v>0.8</c:v>
                </c:pt>
                <c:pt idx="9">
                  <c:v>0.85</c:v>
                </c:pt>
                <c:pt idx="10">
                  <c:v>0.9</c:v>
                </c:pt>
                <c:pt idx="11">
                  <c:v>0.95</c:v>
                </c:pt>
                <c:pt idx="12">
                  <c:v>1</c:v>
                </c:pt>
                <c:pt idx="13">
                  <c:v>1.05</c:v>
                </c:pt>
                <c:pt idx="14">
                  <c:v>1.1000000000000001</c:v>
                </c:pt>
                <c:pt idx="15">
                  <c:v>1.1499999999999999</c:v>
                </c:pt>
                <c:pt idx="16">
                  <c:v>1.2</c:v>
                </c:pt>
                <c:pt idx="17">
                  <c:v>1.25</c:v>
                </c:pt>
                <c:pt idx="18">
                  <c:v>1.3</c:v>
                </c:pt>
                <c:pt idx="19">
                  <c:v>1.35</c:v>
                </c:pt>
                <c:pt idx="20">
                  <c:v>1.4</c:v>
                </c:pt>
                <c:pt idx="21">
                  <c:v>1.45</c:v>
                </c:pt>
                <c:pt idx="22">
                  <c:v>1.5</c:v>
                </c:pt>
                <c:pt idx="23">
                  <c:v>2</c:v>
                </c:pt>
              </c:numCache>
            </c:numRef>
          </c:xVal>
          <c:yVal>
            <c:numRef>
              <c:f>Properties!$J$4:$J$27</c:f>
              <c:numCache>
                <c:formatCode>0%</c:formatCode>
                <c:ptCount val="24"/>
                <c:pt idx="0">
                  <c:v>-1.3245252279570454</c:v>
                </c:pt>
                <c:pt idx="1">
                  <c:v>-1.0713350581400092</c:v>
                </c:pt>
                <c:pt idx="2">
                  <c:v>-0.66338504926996655</c:v>
                </c:pt>
                <c:pt idx="3">
                  <c:v>-0.56225107845443245</c:v>
                </c:pt>
                <c:pt idx="4">
                  <c:v>-0.49751862231865074</c:v>
                </c:pt>
                <c:pt idx="5">
                  <c:v>-0.4393415019882197</c:v>
                </c:pt>
                <c:pt idx="6">
                  <c:v>-0.35110021674035224</c:v>
                </c:pt>
                <c:pt idx="7">
                  <c:v>-0.2697354685970848</c:v>
                </c:pt>
                <c:pt idx="8">
                  <c:v>-0.22158407308881034</c:v>
                </c:pt>
                <c:pt idx="9">
                  <c:v>-0.17275646280778481</c:v>
                </c:pt>
                <c:pt idx="10">
                  <c:v>-0.10497674297254202</c:v>
                </c:pt>
                <c:pt idx="11">
                  <c:v>-3.8940856974476946E-2</c:v>
                </c:pt>
                <c:pt idx="12">
                  <c:v>0</c:v>
                </c:pt>
                <c:pt idx="13">
                  <c:v>3.7481302918317687E-2</c:v>
                </c:pt>
                <c:pt idx="14">
                  <c:v>9.5003576898949033E-2</c:v>
                </c:pt>
                <c:pt idx="15">
                  <c:v>0.14198833669413141</c:v>
                </c:pt>
                <c:pt idx="16">
                  <c:v>0.18139076791377151</c:v>
                </c:pt>
                <c:pt idx="17">
                  <c:v>0.21243438122990566</c:v>
                </c:pt>
                <c:pt idx="18">
                  <c:v>0.25986245312536055</c:v>
                </c:pt>
                <c:pt idx="19">
                  <c:v>0.30523784757220002</c:v>
                </c:pt>
                <c:pt idx="20">
                  <c:v>0.33222867141934553</c:v>
                </c:pt>
                <c:pt idx="21">
                  <c:v>0.35989802548939975</c:v>
                </c:pt>
                <c:pt idx="22">
                  <c:v>0.39881628704136707</c:v>
                </c:pt>
                <c:pt idx="23">
                  <c:v>0.66502180962470459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8607-40B6-A5C6-8BB7981BF0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72308648"/>
        <c:axId val="772311272"/>
      </c:scatterChart>
      <c:valAx>
        <c:axId val="77230864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ysClr val="windowText" lastClr="000000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n-GB"/>
                  <a:t>Number of properties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ysClr val="windowText" lastClr="000000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en-US"/>
            </a:p>
          </c:txPr>
        </c:title>
        <c:numFmt formatCode="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ysClr val="windowText" lastClr="000000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  <c:crossAx val="772311272"/>
        <c:crosses val="autoZero"/>
        <c:crossBetween val="midCat"/>
      </c:valAx>
      <c:valAx>
        <c:axId val="772311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ysClr val="windowText" lastClr="000000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n-GB"/>
                  <a:t>Variation from Average number of properties' NPV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ysClr val="windowText" lastClr="000000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en-US"/>
            </a:p>
          </c:txPr>
        </c:title>
        <c:numFmt formatCode="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ysClr val="windowText" lastClr="000000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  <c:crossAx val="77230864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ysClr val="windowText" lastClr="000000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 b="1">
          <a:solidFill>
            <a:sysClr val="windowText" lastClr="000000"/>
          </a:solidFill>
          <a:latin typeface="Times New Roman" panose="02020603050405020304" pitchFamily="18" charset="0"/>
          <a:cs typeface="Times New Roman" panose="02020603050405020304" pitchFamily="18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Class!$B$3</c:f>
              <c:strCache>
                <c:ptCount val="1"/>
                <c:pt idx="0">
                  <c:v>DH</c:v>
                </c:pt>
              </c:strCache>
            </c:strRef>
          </c:tx>
          <c:spPr>
            <a:solidFill>
              <a:srgbClr val="002060"/>
            </a:solidFill>
            <a:ln>
              <a:noFill/>
            </a:ln>
            <a:effectLst/>
          </c:spPr>
          <c:invertIfNegative val="0"/>
          <c:cat>
            <c:strRef>
              <c:f>Class!$A$4:$A$10</c:f>
              <c:strCache>
                <c:ptCount val="7"/>
                <c:pt idx="0">
                  <c:v>Residential</c:v>
                </c:pt>
                <c:pt idx="1">
                  <c:v>Office</c:v>
                </c:pt>
                <c:pt idx="2">
                  <c:v>Retail</c:v>
                </c:pt>
                <c:pt idx="3">
                  <c:v>Restaurant/pub/bar</c:v>
                </c:pt>
                <c:pt idx="4">
                  <c:v>Education</c:v>
                </c:pt>
                <c:pt idx="5">
                  <c:v>Public/Community</c:v>
                </c:pt>
                <c:pt idx="6">
                  <c:v>Hotel</c:v>
                </c:pt>
              </c:strCache>
            </c:strRef>
          </c:cat>
          <c:val>
            <c:numRef>
              <c:f>Class!$B$4:$B$10</c:f>
              <c:numCache>
                <c:formatCode>0.00</c:formatCode>
                <c:ptCount val="7"/>
                <c:pt idx="0">
                  <c:v>15.738406011210575</c:v>
                </c:pt>
                <c:pt idx="1">
                  <c:v>32.718157474804464</c:v>
                </c:pt>
                <c:pt idx="2">
                  <c:v>40.413935400156788</c:v>
                </c:pt>
                <c:pt idx="3">
                  <c:v>69.220971335614649</c:v>
                </c:pt>
                <c:pt idx="4">
                  <c:v>37.326908386881115</c:v>
                </c:pt>
                <c:pt idx="5">
                  <c:v>44.57491046085071</c:v>
                </c:pt>
                <c:pt idx="6">
                  <c:v>62.909069725800933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D71-49AD-91A2-7EDB70199590}"/>
            </c:ext>
          </c:extLst>
        </c:ser>
        <c:ser>
          <c:idx val="1"/>
          <c:order val="1"/>
          <c:tx>
            <c:strRef>
              <c:f>Class!$C$3</c:f>
              <c:strCache>
                <c:ptCount val="1"/>
                <c:pt idx="0">
                  <c:v>AN</c:v>
                </c:pt>
              </c:strCache>
            </c:strRef>
          </c:tx>
          <c:spPr>
            <a:solidFill>
              <a:srgbClr val="C00000"/>
            </a:solidFill>
            <a:ln>
              <a:noFill/>
            </a:ln>
            <a:effectLst/>
          </c:spPr>
          <c:invertIfNegative val="0"/>
          <c:cat>
            <c:strRef>
              <c:f>Class!$A$4:$A$10</c:f>
              <c:strCache>
                <c:ptCount val="7"/>
                <c:pt idx="0">
                  <c:v>Residential</c:v>
                </c:pt>
                <c:pt idx="1">
                  <c:v>Office</c:v>
                </c:pt>
                <c:pt idx="2">
                  <c:v>Retail</c:v>
                </c:pt>
                <c:pt idx="3">
                  <c:v>Restaurant/pub/bar</c:v>
                </c:pt>
                <c:pt idx="4">
                  <c:v>Education</c:v>
                </c:pt>
                <c:pt idx="5">
                  <c:v>Public/Community</c:v>
                </c:pt>
                <c:pt idx="6">
                  <c:v>Hotel</c:v>
                </c:pt>
              </c:strCache>
            </c:strRef>
          </c:cat>
          <c:val>
            <c:numRef>
              <c:f>Class!$C$4:$C$10</c:f>
              <c:numCache>
                <c:formatCode>0.00</c:formatCode>
                <c:ptCount val="7"/>
                <c:pt idx="0">
                  <c:v>18.461129894665845</c:v>
                </c:pt>
                <c:pt idx="1">
                  <c:v>31.067603502256009</c:v>
                </c:pt>
                <c:pt idx="2">
                  <c:v>38.190526646286997</c:v>
                </c:pt>
                <c:pt idx="3">
                  <c:v>55.619229014175119</c:v>
                </c:pt>
                <c:pt idx="4">
                  <c:v>35.26013925981183</c:v>
                </c:pt>
                <c:pt idx="5">
                  <c:v>39.61731485178386</c:v>
                </c:pt>
                <c:pt idx="6">
                  <c:v>48.420786885090195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D71-49AD-91A2-7EDB70199590}"/>
            </c:ext>
          </c:extLst>
        </c:ser>
        <c:ser>
          <c:idx val="3"/>
          <c:order val="2"/>
          <c:tx>
            <c:strRef>
              <c:f>Class!$D$3</c:f>
              <c:strCache>
                <c:ptCount val="1"/>
                <c:pt idx="0">
                  <c:v>ASHP</c:v>
                </c:pt>
              </c:strCache>
            </c:strRef>
          </c:tx>
          <c:spPr>
            <a:solidFill>
              <a:srgbClr val="92D050"/>
            </a:solidFill>
            <a:ln>
              <a:noFill/>
            </a:ln>
            <a:effectLst/>
          </c:spPr>
          <c:invertIfNegative val="0"/>
          <c:val>
            <c:numRef>
              <c:f>Class!$D$4:$D$10</c:f>
              <c:numCache>
                <c:formatCode>0.00</c:formatCode>
                <c:ptCount val="7"/>
                <c:pt idx="0">
                  <c:v>8.5176120889088995</c:v>
                </c:pt>
                <c:pt idx="1">
                  <c:v>18.667549155932285</c:v>
                </c:pt>
                <c:pt idx="2">
                  <c:v>24.26936508698363</c:v>
                </c:pt>
                <c:pt idx="3">
                  <c:v>41.433200865031068</c:v>
                </c:pt>
                <c:pt idx="4">
                  <c:v>21.984943481678425</c:v>
                </c:pt>
                <c:pt idx="5">
                  <c:v>26.275902426190285</c:v>
                </c:pt>
                <c:pt idx="6">
                  <c:v>36.252624394035529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6E6-4419-8130-CEBA3B6396BF}"/>
            </c:ext>
          </c:extLst>
        </c:ser>
        <c:ser>
          <c:idx val="2"/>
          <c:order val="3"/>
          <c:tx>
            <c:strRef>
              <c:f>Class!$E$3</c:f>
              <c:strCache>
                <c:ptCount val="1"/>
                <c:pt idx="0">
                  <c:v>GB</c:v>
                </c:pt>
              </c:strCache>
            </c:strRef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cat>
            <c:strRef>
              <c:f>Class!$A$4:$A$10</c:f>
              <c:strCache>
                <c:ptCount val="7"/>
                <c:pt idx="0">
                  <c:v>Residential</c:v>
                </c:pt>
                <c:pt idx="1">
                  <c:v>Office</c:v>
                </c:pt>
                <c:pt idx="2">
                  <c:v>Retail</c:v>
                </c:pt>
                <c:pt idx="3">
                  <c:v>Restaurant/pub/bar</c:v>
                </c:pt>
                <c:pt idx="4">
                  <c:v>Education</c:v>
                </c:pt>
                <c:pt idx="5">
                  <c:v>Public/Community</c:v>
                </c:pt>
                <c:pt idx="6">
                  <c:v>Hotel</c:v>
                </c:pt>
              </c:strCache>
            </c:strRef>
          </c:cat>
          <c:val>
            <c:numRef>
              <c:f>Class!$E$4:$E$10</c:f>
              <c:numCache>
                <c:formatCode>0.00</c:formatCode>
                <c:ptCount val="7"/>
                <c:pt idx="0">
                  <c:v>6.1839071065578386</c:v>
                </c:pt>
                <c:pt idx="1">
                  <c:v>21.895709002604811</c:v>
                </c:pt>
                <c:pt idx="2">
                  <c:v>31.025516037054757</c:v>
                </c:pt>
                <c:pt idx="3">
                  <c:v>66.595071370352599</c:v>
                </c:pt>
                <c:pt idx="4">
                  <c:v>27.365679283237267</c:v>
                </c:pt>
                <c:pt idx="5">
                  <c:v>36.258068116561731</c:v>
                </c:pt>
                <c:pt idx="6">
                  <c:v>59.164602702192404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D71-49AD-91A2-7EDB701995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786824296"/>
        <c:axId val="786824624"/>
      </c:barChart>
      <c:catAx>
        <c:axId val="7868242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ysClr val="windowText" lastClr="000000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  <c:crossAx val="786824624"/>
        <c:crosses val="autoZero"/>
        <c:auto val="1"/>
        <c:lblAlgn val="ctr"/>
        <c:lblOffset val="100"/>
        <c:noMultiLvlLbl val="0"/>
      </c:catAx>
      <c:valAx>
        <c:axId val="7868246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ysClr val="windowText" lastClr="000000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n-GB"/>
                  <a:t>NPV (mil£)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ysClr val="windowText" lastClr="000000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ysClr val="windowText" lastClr="000000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  <c:crossAx val="786824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ysClr val="windowText" lastClr="000000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 b="1">
          <a:solidFill>
            <a:sysClr val="windowText" lastClr="000000"/>
          </a:solidFill>
          <a:latin typeface="Times New Roman" panose="02020603050405020304" pitchFamily="18" charset="0"/>
          <a:cs typeface="Times New Roman" panose="02020603050405020304" pitchFamily="18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893555555555555"/>
          <c:y val="8.3494041779590258E-2"/>
          <c:w val="0.66387486111111116"/>
          <c:h val="0.7243483333333333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Sensitivity!$A$3</c:f>
              <c:strCache>
                <c:ptCount val="1"/>
                <c:pt idx="0">
                  <c:v>DH - Network 1</c:v>
                </c:pt>
              </c:strCache>
            </c:strRef>
          </c:tx>
          <c:spPr>
            <a:solidFill>
              <a:srgbClr val="002060"/>
            </a:solidFill>
            <a:ln>
              <a:noFill/>
            </a:ln>
            <a:effectLst/>
          </c:spPr>
          <c:invertIfNegative val="0"/>
          <c:cat>
            <c:strRef>
              <c:f>Sensitivity!$B$2:$F$2</c:f>
              <c:strCache>
                <c:ptCount val="5"/>
                <c:pt idx="0">
                  <c:v> CAPEX Sensitivity </c:v>
                </c:pt>
                <c:pt idx="1">
                  <c:v> OPEX Sensitivity </c:v>
                </c:pt>
                <c:pt idx="2">
                  <c:v> Fuel Price Sensitivity </c:v>
                </c:pt>
                <c:pt idx="3">
                  <c:v> SCOP Sensitivity </c:v>
                </c:pt>
                <c:pt idx="4">
                  <c:v> Discount Rate Sensitivity </c:v>
                </c:pt>
              </c:strCache>
            </c:strRef>
          </c:cat>
          <c:val>
            <c:numRef>
              <c:f>Sensitivity!$B$3:$F$3</c:f>
              <c:numCache>
                <c:formatCode>0%</c:formatCode>
                <c:ptCount val="5"/>
                <c:pt idx="0">
                  <c:v>9.4137805841346012E-2</c:v>
                </c:pt>
                <c:pt idx="1">
                  <c:v>2.8746013685526872E-2</c:v>
                </c:pt>
                <c:pt idx="2">
                  <c:v>0.13188706581222576</c:v>
                </c:pt>
                <c:pt idx="3">
                  <c:v>0.11508684778619593</c:v>
                </c:pt>
                <c:pt idx="4">
                  <c:v>0.14822226687349338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727-4535-B5A9-5587A2A7E0B1}"/>
            </c:ext>
          </c:extLst>
        </c:ser>
        <c:ser>
          <c:idx val="1"/>
          <c:order val="1"/>
          <c:tx>
            <c:strRef>
              <c:f>Sensitivity!$A$4</c:f>
              <c:strCache>
                <c:ptCount val="1"/>
                <c:pt idx="0">
                  <c:v>AN - Network 1</c:v>
                </c:pt>
              </c:strCache>
            </c:strRef>
          </c:tx>
          <c:spPr>
            <a:solidFill>
              <a:srgbClr val="C00000"/>
            </a:solidFill>
            <a:ln>
              <a:noFill/>
            </a:ln>
            <a:effectLst/>
          </c:spPr>
          <c:invertIfNegative val="0"/>
          <c:cat>
            <c:strRef>
              <c:f>Sensitivity!$B$2:$F$2</c:f>
              <c:strCache>
                <c:ptCount val="5"/>
                <c:pt idx="0">
                  <c:v> CAPEX Sensitivity </c:v>
                </c:pt>
                <c:pt idx="1">
                  <c:v> OPEX Sensitivity </c:v>
                </c:pt>
                <c:pt idx="2">
                  <c:v> Fuel Price Sensitivity </c:v>
                </c:pt>
                <c:pt idx="3">
                  <c:v> SCOP Sensitivity </c:v>
                </c:pt>
                <c:pt idx="4">
                  <c:v> Discount Rate Sensitivity </c:v>
                </c:pt>
              </c:strCache>
            </c:strRef>
          </c:cat>
          <c:val>
            <c:numRef>
              <c:f>Sensitivity!$B$4:$F$4</c:f>
              <c:numCache>
                <c:formatCode>0%</c:formatCode>
                <c:ptCount val="5"/>
                <c:pt idx="0">
                  <c:v>9.5784849738612454E-2</c:v>
                </c:pt>
                <c:pt idx="1">
                  <c:v>2.7599704098439481E-2</c:v>
                </c:pt>
                <c:pt idx="2">
                  <c:v>0.12454319138103709</c:v>
                </c:pt>
                <c:pt idx="3">
                  <c:v>0.11213803194429839</c:v>
                </c:pt>
                <c:pt idx="4">
                  <c:v>0.14524100089557601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727-4535-B5A9-5587A2A7E0B1}"/>
            </c:ext>
          </c:extLst>
        </c:ser>
        <c:ser>
          <c:idx val="2"/>
          <c:order val="2"/>
          <c:tx>
            <c:strRef>
              <c:f>Sensitivity!$A$5</c:f>
              <c:strCache>
                <c:ptCount val="1"/>
                <c:pt idx="0">
                  <c:v>ASHP - Network 1</c:v>
                </c:pt>
              </c:strCache>
            </c:strRef>
          </c:tx>
          <c:spPr>
            <a:solidFill>
              <a:srgbClr val="92D050"/>
            </a:solidFill>
            <a:ln>
              <a:noFill/>
            </a:ln>
            <a:effectLst/>
          </c:spPr>
          <c:invertIfNegative val="0"/>
          <c:cat>
            <c:strRef>
              <c:f>Sensitivity!$B$2:$F$2</c:f>
              <c:strCache>
                <c:ptCount val="5"/>
                <c:pt idx="0">
                  <c:v> CAPEX Sensitivity </c:v>
                </c:pt>
                <c:pt idx="1">
                  <c:v> OPEX Sensitivity </c:v>
                </c:pt>
                <c:pt idx="2">
                  <c:v> Fuel Price Sensitivity </c:v>
                </c:pt>
                <c:pt idx="3">
                  <c:v> SCOP Sensitivity </c:v>
                </c:pt>
                <c:pt idx="4">
                  <c:v> Discount Rate Sensitivity </c:v>
                </c:pt>
              </c:strCache>
            </c:strRef>
          </c:cat>
          <c:val>
            <c:numRef>
              <c:f>Sensitivity!$B$5:$F$5</c:f>
              <c:numCache>
                <c:formatCode>0%</c:formatCode>
                <c:ptCount val="5"/>
                <c:pt idx="0">
                  <c:v>8.771258944864968E-2</c:v>
                </c:pt>
                <c:pt idx="1">
                  <c:v>8.771258944864968E-2</c:v>
                </c:pt>
                <c:pt idx="2">
                  <c:v>8.4487908420082247E-2</c:v>
                </c:pt>
                <c:pt idx="3">
                  <c:v>0.12069701202868899</c:v>
                </c:pt>
                <c:pt idx="4">
                  <c:v>8.1971570170691566E-2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727-4535-B5A9-5587A2A7E0B1}"/>
            </c:ext>
          </c:extLst>
        </c:ser>
        <c:ser>
          <c:idx val="3"/>
          <c:order val="3"/>
          <c:tx>
            <c:strRef>
              <c:f>Sensitivity!$A$6</c:f>
              <c:strCache>
                <c:ptCount val="1"/>
                <c:pt idx="0">
                  <c:v>GB - Network 1</c:v>
                </c:pt>
              </c:strCache>
            </c:strRef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cat>
            <c:strRef>
              <c:f>Sensitivity!$B$2:$F$2</c:f>
              <c:strCache>
                <c:ptCount val="5"/>
                <c:pt idx="0">
                  <c:v> CAPEX Sensitivity </c:v>
                </c:pt>
                <c:pt idx="1">
                  <c:v> OPEX Sensitivity </c:v>
                </c:pt>
                <c:pt idx="2">
                  <c:v> Fuel Price Sensitivity </c:v>
                </c:pt>
                <c:pt idx="3">
                  <c:v> SCOP Sensitivity </c:v>
                </c:pt>
                <c:pt idx="4">
                  <c:v> Discount Rate Sensitivity </c:v>
                </c:pt>
              </c:strCache>
            </c:strRef>
          </c:cat>
          <c:val>
            <c:numRef>
              <c:f>Sensitivity!$B$6:$F$6</c:f>
              <c:numCache>
                <c:formatCode>0%</c:formatCode>
                <c:ptCount val="5"/>
                <c:pt idx="0">
                  <c:v>4.2196366925017603E-2</c:v>
                </c:pt>
                <c:pt idx="1">
                  <c:v>3.5575044671937617E-2</c:v>
                </c:pt>
                <c:pt idx="2">
                  <c:v>8.5539916275590988E-2</c:v>
                </c:pt>
                <c:pt idx="3">
                  <c:v>0</c:v>
                </c:pt>
                <c:pt idx="4">
                  <c:v>4.7793344511408264E-2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727-4535-B5A9-5587A2A7E0B1}"/>
            </c:ext>
          </c:extLst>
        </c:ser>
        <c:ser>
          <c:idx val="4"/>
          <c:order val="4"/>
          <c:tx>
            <c:strRef>
              <c:f>Sensitivity!$A$9</c:f>
              <c:strCache>
                <c:ptCount val="1"/>
              </c:strCache>
            </c:strRef>
          </c:tx>
          <c:spPr>
            <a:solidFill>
              <a:schemeClr val="bg1"/>
            </a:solidFill>
            <a:ln>
              <a:noFill/>
            </a:ln>
            <a:effectLst/>
          </c:spPr>
          <c:invertIfNegative val="0"/>
          <c:cat>
            <c:strRef>
              <c:f>Sensitivity!$B$2:$F$2</c:f>
              <c:strCache>
                <c:ptCount val="5"/>
                <c:pt idx="0">
                  <c:v> CAPEX Sensitivity </c:v>
                </c:pt>
                <c:pt idx="1">
                  <c:v> OPEX Sensitivity </c:v>
                </c:pt>
                <c:pt idx="2">
                  <c:v> Fuel Price Sensitivity </c:v>
                </c:pt>
                <c:pt idx="3">
                  <c:v> SCOP Sensitivity </c:v>
                </c:pt>
                <c:pt idx="4">
                  <c:v> Discount Rate Sensitivity </c:v>
                </c:pt>
              </c:strCache>
            </c:strRef>
          </c:cat>
          <c:val>
            <c:numRef>
              <c:f>Sensitivity!$B$9:$F$9</c:f>
              <c:numCache>
                <c:formatCode>_(* #,##0.00_);_(* \(#,##0.00\);_(* "-"??_);_(@_)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727-4535-B5A9-5587A2A7E0B1}"/>
            </c:ext>
          </c:extLst>
        </c:ser>
        <c:ser>
          <c:idx val="5"/>
          <c:order val="5"/>
          <c:tx>
            <c:strRef>
              <c:f>Sensitivity!$A$10</c:f>
              <c:strCache>
                <c:ptCount val="1"/>
                <c:pt idx="0">
                  <c:v>DH - Network 2</c:v>
                </c:pt>
              </c:strCache>
            </c:strRef>
          </c:tx>
          <c:spPr>
            <a:pattFill prst="dkUpDiag">
              <a:fgClr>
                <a:srgbClr val="002060"/>
              </a:fgClr>
              <a:bgClr>
                <a:schemeClr val="bg1"/>
              </a:bgClr>
            </a:pattFill>
            <a:ln>
              <a:noFill/>
            </a:ln>
            <a:effectLst/>
          </c:spPr>
          <c:invertIfNegative val="0"/>
          <c:cat>
            <c:strRef>
              <c:f>Sensitivity!$B$2:$F$2</c:f>
              <c:strCache>
                <c:ptCount val="5"/>
                <c:pt idx="0">
                  <c:v> CAPEX Sensitivity </c:v>
                </c:pt>
                <c:pt idx="1">
                  <c:v> OPEX Sensitivity </c:v>
                </c:pt>
                <c:pt idx="2">
                  <c:v> Fuel Price Sensitivity </c:v>
                </c:pt>
                <c:pt idx="3">
                  <c:v> SCOP Sensitivity </c:v>
                </c:pt>
                <c:pt idx="4">
                  <c:v> Discount Rate Sensitivity </c:v>
                </c:pt>
              </c:strCache>
            </c:strRef>
          </c:cat>
          <c:val>
            <c:numRef>
              <c:f>Sensitivity!$B$10:$F$10</c:f>
              <c:numCache>
                <c:formatCode>0%</c:formatCode>
                <c:ptCount val="5"/>
                <c:pt idx="0">
                  <c:v>0.18902471863756198</c:v>
                </c:pt>
                <c:pt idx="1">
                  <c:v>3.0694001583116304E-2</c:v>
                </c:pt>
                <c:pt idx="2">
                  <c:v>3.4560928113058553E-2</c:v>
                </c:pt>
                <c:pt idx="3">
                  <c:v>3.9186442231809115E-2</c:v>
                </c:pt>
                <c:pt idx="4">
                  <c:v>0.23261871091092146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7727-4535-B5A9-5587A2A7E0B1}"/>
            </c:ext>
          </c:extLst>
        </c:ser>
        <c:ser>
          <c:idx val="6"/>
          <c:order val="6"/>
          <c:tx>
            <c:strRef>
              <c:f>Sensitivity!$A$11</c:f>
              <c:strCache>
                <c:ptCount val="1"/>
                <c:pt idx="0">
                  <c:v>AN - Network 2</c:v>
                </c:pt>
              </c:strCache>
            </c:strRef>
          </c:tx>
          <c:spPr>
            <a:pattFill prst="dkUpDiag">
              <a:fgClr>
                <a:srgbClr val="C00000"/>
              </a:fgClr>
              <a:bgClr>
                <a:schemeClr val="bg1"/>
              </a:bgClr>
            </a:pattFill>
            <a:ln>
              <a:noFill/>
            </a:ln>
            <a:effectLst/>
          </c:spPr>
          <c:invertIfNegative val="0"/>
          <c:cat>
            <c:strRef>
              <c:f>Sensitivity!$B$2:$F$2</c:f>
              <c:strCache>
                <c:ptCount val="5"/>
                <c:pt idx="0">
                  <c:v> CAPEX Sensitivity </c:v>
                </c:pt>
                <c:pt idx="1">
                  <c:v> OPEX Sensitivity </c:v>
                </c:pt>
                <c:pt idx="2">
                  <c:v> Fuel Price Sensitivity </c:v>
                </c:pt>
                <c:pt idx="3">
                  <c:v> SCOP Sensitivity </c:v>
                </c:pt>
                <c:pt idx="4">
                  <c:v> Discount Rate Sensitivity </c:v>
                </c:pt>
              </c:strCache>
            </c:strRef>
          </c:cat>
          <c:val>
            <c:numRef>
              <c:f>Sensitivity!$B$11:$F$11</c:f>
              <c:numCache>
                <c:formatCode>0%</c:formatCode>
                <c:ptCount val="5"/>
                <c:pt idx="0">
                  <c:v>0.16219033976452391</c:v>
                </c:pt>
                <c:pt idx="1">
                  <c:v>4.2537471810248251E-2</c:v>
                </c:pt>
                <c:pt idx="2">
                  <c:v>3.1987040730365734E-2</c:v>
                </c:pt>
                <c:pt idx="3">
                  <c:v>4.2887837175118682E-2</c:v>
                </c:pt>
                <c:pt idx="4">
                  <c:v>0.18959403219689852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7727-4535-B5A9-5587A2A7E0B1}"/>
            </c:ext>
          </c:extLst>
        </c:ser>
        <c:ser>
          <c:idx val="7"/>
          <c:order val="7"/>
          <c:tx>
            <c:strRef>
              <c:f>Sensitivity!$A$12</c:f>
              <c:strCache>
                <c:ptCount val="1"/>
                <c:pt idx="0">
                  <c:v>ASHP - Network 2</c:v>
                </c:pt>
              </c:strCache>
            </c:strRef>
          </c:tx>
          <c:spPr>
            <a:pattFill prst="dkUpDiag">
              <a:fgClr>
                <a:srgbClr val="92D050"/>
              </a:fgClr>
              <a:bgClr>
                <a:schemeClr val="bg1"/>
              </a:bgClr>
            </a:pattFill>
            <a:ln>
              <a:noFill/>
            </a:ln>
            <a:effectLst/>
          </c:spPr>
          <c:invertIfNegative val="0"/>
          <c:cat>
            <c:strRef>
              <c:f>Sensitivity!$B$2:$F$2</c:f>
              <c:strCache>
                <c:ptCount val="5"/>
                <c:pt idx="0">
                  <c:v> CAPEX Sensitivity </c:v>
                </c:pt>
                <c:pt idx="1">
                  <c:v> OPEX Sensitivity </c:v>
                </c:pt>
                <c:pt idx="2">
                  <c:v> Fuel Price Sensitivity </c:v>
                </c:pt>
                <c:pt idx="3">
                  <c:v> SCOP Sensitivity </c:v>
                </c:pt>
                <c:pt idx="4">
                  <c:v> Discount Rate Sensitivity </c:v>
                </c:pt>
              </c:strCache>
            </c:strRef>
          </c:cat>
          <c:val>
            <c:numRef>
              <c:f>Sensitivity!$B$12:$F$12</c:f>
              <c:numCache>
                <c:formatCode>0%</c:formatCode>
                <c:ptCount val="5"/>
                <c:pt idx="0">
                  <c:v>8.8764626714183947E-2</c:v>
                </c:pt>
                <c:pt idx="1">
                  <c:v>8.8764626714183947E-2</c:v>
                </c:pt>
                <c:pt idx="2">
                  <c:v>6.8043956140881656E-2</c:v>
                </c:pt>
                <c:pt idx="3">
                  <c:v>9.7205651629830969E-2</c:v>
                </c:pt>
                <c:pt idx="4">
                  <c:v>8.8764533367779119E-2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7727-4535-B5A9-5587A2A7E0B1}"/>
            </c:ext>
          </c:extLst>
        </c:ser>
        <c:ser>
          <c:idx val="8"/>
          <c:order val="8"/>
          <c:tx>
            <c:strRef>
              <c:f>Sensitivity!$A$13</c:f>
              <c:strCache>
                <c:ptCount val="1"/>
                <c:pt idx="0">
                  <c:v>GB - Network 2</c:v>
                </c:pt>
              </c:strCache>
            </c:strRef>
          </c:tx>
          <c:spPr>
            <a:pattFill prst="dkUpDiag">
              <a:fgClr>
                <a:srgbClr val="FFC000"/>
              </a:fgClr>
              <a:bgClr>
                <a:schemeClr val="bg1"/>
              </a:bgClr>
            </a:pattFill>
            <a:ln>
              <a:noFill/>
            </a:ln>
            <a:effectLst/>
          </c:spPr>
          <c:invertIfNegative val="0"/>
          <c:cat>
            <c:strRef>
              <c:f>Sensitivity!$B$2:$F$2</c:f>
              <c:strCache>
                <c:ptCount val="5"/>
                <c:pt idx="0">
                  <c:v> CAPEX Sensitivity </c:v>
                </c:pt>
                <c:pt idx="1">
                  <c:v> OPEX Sensitivity </c:v>
                </c:pt>
                <c:pt idx="2">
                  <c:v> Fuel Price Sensitivity </c:v>
                </c:pt>
                <c:pt idx="3">
                  <c:v> SCOP Sensitivity </c:v>
                </c:pt>
                <c:pt idx="4">
                  <c:v> Discount Rate Sensitivity </c:v>
                </c:pt>
              </c:strCache>
            </c:strRef>
          </c:cat>
          <c:val>
            <c:numRef>
              <c:f>Sensitivity!$B$13:$F$13</c:f>
              <c:numCache>
                <c:formatCode>0%</c:formatCode>
                <c:ptCount val="5"/>
                <c:pt idx="0">
                  <c:v>5.344485198516602E-2</c:v>
                </c:pt>
                <c:pt idx="1">
                  <c:v>4.5380327536111542E-2</c:v>
                </c:pt>
                <c:pt idx="2">
                  <c:v>7.8518294324851468E-2</c:v>
                </c:pt>
                <c:pt idx="3">
                  <c:v>0</c:v>
                </c:pt>
                <c:pt idx="4">
                  <c:v>4.5737849421395804E-2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7727-4535-B5A9-5587A2A7E0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933870248"/>
        <c:axId val="933870576"/>
      </c:barChart>
      <c:catAx>
        <c:axId val="9338702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ysClr val="windowText" lastClr="000000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  <c:crossAx val="933870576"/>
        <c:crosses val="autoZero"/>
        <c:auto val="1"/>
        <c:lblAlgn val="ctr"/>
        <c:lblOffset val="100"/>
        <c:noMultiLvlLbl val="0"/>
      </c:catAx>
      <c:valAx>
        <c:axId val="9338705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ysClr val="windowText" lastClr="000000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n-GB"/>
                  <a:t>Change from LCOE with social costs (%)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ysClr val="windowText" lastClr="000000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en-US"/>
            </a:p>
          </c:txPr>
        </c:title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ysClr val="windowText" lastClr="000000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  <c:crossAx val="9338702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ysClr val="windowText" lastClr="000000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 b="1">
          <a:solidFill>
            <a:sysClr val="windowText" lastClr="000000"/>
          </a:solidFill>
          <a:latin typeface="Times New Roman" panose="02020603050405020304" pitchFamily="18" charset="0"/>
          <a:cs typeface="Times New Roman" panose="02020603050405020304" pitchFamily="18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9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736146</xdr:colOff>
      <xdr:row>13</xdr:row>
      <xdr:rowOff>91540</xdr:rowOff>
    </xdr:from>
    <xdr:to>
      <xdr:col>12</xdr:col>
      <xdr:colOff>544286</xdr:colOff>
      <xdr:row>28</xdr:row>
      <xdr:rowOff>87457</xdr:rowOff>
    </xdr:to>
    <xdr:sp macro="[0]!BEP__ASHP_GB" textlink="">
      <xdr:nvSpPr>
        <xdr:cNvPr id="2" name="Rounded Rectangle 1">
          <a:extLst>
            <a:ext uri="{FF2B5EF4-FFF2-40B4-BE49-F238E27FC236}">
              <a16:creationId xmlns:a16="http://schemas.microsoft.com/office/drawing/2014/main" id="{5D97C63F-D1BF-4EFE-A6C3-AE4E7A468568}"/>
            </a:ext>
          </a:extLst>
        </xdr:cNvPr>
        <xdr:cNvSpPr/>
      </xdr:nvSpPr>
      <xdr:spPr>
        <a:xfrm>
          <a:off x="4479471" y="3187165"/>
          <a:ext cx="7532915" cy="2872467"/>
        </a:xfrm>
        <a:prstGeom prst="roundRect">
          <a:avLst>
            <a:gd name="adj" fmla="val 8866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2000" b="1"/>
            <a:t>Calculate sizes</a:t>
          </a:r>
        </a:p>
      </xdr:txBody>
    </xdr:sp>
    <xdr:clientData/>
  </xdr:twoCellAnchor>
  <xdr:twoCellAnchor>
    <xdr:from>
      <xdr:col>23</xdr:col>
      <xdr:colOff>0</xdr:colOff>
      <xdr:row>62</xdr:row>
      <xdr:rowOff>0</xdr:rowOff>
    </xdr:from>
    <xdr:to>
      <xdr:col>30</xdr:col>
      <xdr:colOff>579506</xdr:colOff>
      <xdr:row>84</xdr:row>
      <xdr:rowOff>159925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84745B00-2997-4ADE-8549-EEC20336A2E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29</xdr:col>
      <xdr:colOff>326571</xdr:colOff>
      <xdr:row>4</xdr:row>
      <xdr:rowOff>193222</xdr:rowOff>
    </xdr:from>
    <xdr:to>
      <xdr:col>41</xdr:col>
      <xdr:colOff>178714</xdr:colOff>
      <xdr:row>20</xdr:row>
      <xdr:rowOff>92079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68FBE08B-064B-4A27-9503-B660947705C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0.83722</cdr:x>
      <cdr:y>0.21091</cdr:y>
    </cdr:from>
    <cdr:to>
      <cdr:x>0.98866</cdr:x>
      <cdr:y>0.40368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0810DB3A-209F-4916-A494-B36F92F1D269}"/>
            </a:ext>
          </a:extLst>
        </cdr:cNvPr>
        <cdr:cNvSpPr txBox="1"/>
      </cdr:nvSpPr>
      <cdr:spPr>
        <a:xfrm xmlns:a="http://schemas.openxmlformats.org/drawingml/2006/main">
          <a:off x="6027965" y="759279"/>
          <a:ext cx="1090392" cy="69396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 anchor="ctr"/>
        <a:lstStyle xmlns:a="http://schemas.openxmlformats.org/drawingml/2006/main"/>
        <a:p xmlns:a="http://schemas.openxmlformats.org/drawingml/2006/main">
          <a:pPr algn="ctr"/>
          <a:r>
            <a:rPr lang="en-GB" sz="1400" b="1">
              <a:latin typeface="Times New Roman" panose="02020603050405020304" pitchFamily="18" charset="0"/>
              <a:cs typeface="Times New Roman" panose="02020603050405020304" pitchFamily="18" charset="0"/>
            </a:rPr>
            <a:t>Houses</a:t>
          </a:r>
          <a:r>
            <a:rPr lang="en-GB" sz="1400" b="1" baseline="0">
              <a:latin typeface="Times New Roman" panose="02020603050405020304" pitchFamily="18" charset="0"/>
              <a:cs typeface="Times New Roman" panose="02020603050405020304" pitchFamily="18" charset="0"/>
            </a:rPr>
            <a:t> per Hectare</a:t>
          </a:r>
          <a:endParaRPr lang="en-GB" sz="1400" b="1">
            <a:latin typeface="Times New Roman" panose="02020603050405020304" pitchFamily="18" charset="0"/>
            <a:cs typeface="Times New Roman" panose="02020603050405020304" pitchFamily="18" charset="0"/>
          </a:endParaRPr>
        </a:p>
      </cdr:txBody>
    </cdr:sp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736146</xdr:colOff>
      <xdr:row>13</xdr:row>
      <xdr:rowOff>91540</xdr:rowOff>
    </xdr:from>
    <xdr:to>
      <xdr:col>12</xdr:col>
      <xdr:colOff>544286</xdr:colOff>
      <xdr:row>28</xdr:row>
      <xdr:rowOff>87457</xdr:rowOff>
    </xdr:to>
    <xdr:sp macro="[0]!BEP__AN_ASHP" textlink="">
      <xdr:nvSpPr>
        <xdr:cNvPr id="2" name="Rounded Rectangle 1">
          <a:extLst>
            <a:ext uri="{FF2B5EF4-FFF2-40B4-BE49-F238E27FC236}">
              <a16:creationId xmlns:a16="http://schemas.microsoft.com/office/drawing/2014/main" id="{65BF993F-6B7A-41E8-90F2-B763070F628F}"/>
            </a:ext>
          </a:extLst>
        </xdr:cNvPr>
        <xdr:cNvSpPr/>
      </xdr:nvSpPr>
      <xdr:spPr>
        <a:xfrm>
          <a:off x="4479471" y="3187165"/>
          <a:ext cx="7532915" cy="2872467"/>
        </a:xfrm>
        <a:prstGeom prst="roundRect">
          <a:avLst>
            <a:gd name="adj" fmla="val 8866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2000" b="1"/>
            <a:t>Calculate sizes</a:t>
          </a:r>
        </a:p>
      </xdr:txBody>
    </xdr:sp>
    <xdr:clientData/>
  </xdr:twoCellAnchor>
  <xdr:twoCellAnchor>
    <xdr:from>
      <xdr:col>23</xdr:col>
      <xdr:colOff>0</xdr:colOff>
      <xdr:row>62</xdr:row>
      <xdr:rowOff>0</xdr:rowOff>
    </xdr:from>
    <xdr:to>
      <xdr:col>30</xdr:col>
      <xdr:colOff>579506</xdr:colOff>
      <xdr:row>84</xdr:row>
      <xdr:rowOff>159925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E558C267-F69D-44ED-AF8E-408EF249F3E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29</xdr:col>
      <xdr:colOff>326571</xdr:colOff>
      <xdr:row>4</xdr:row>
      <xdr:rowOff>193222</xdr:rowOff>
    </xdr:from>
    <xdr:to>
      <xdr:col>41</xdr:col>
      <xdr:colOff>178714</xdr:colOff>
      <xdr:row>20</xdr:row>
      <xdr:rowOff>92079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4B7953A5-AE24-4D51-A63B-435A1B8B03B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0.83722</cdr:x>
      <cdr:y>0.21091</cdr:y>
    </cdr:from>
    <cdr:to>
      <cdr:x>0.98866</cdr:x>
      <cdr:y>0.40368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0810DB3A-209F-4916-A494-B36F92F1D269}"/>
            </a:ext>
          </a:extLst>
        </cdr:cNvPr>
        <cdr:cNvSpPr txBox="1"/>
      </cdr:nvSpPr>
      <cdr:spPr>
        <a:xfrm xmlns:a="http://schemas.openxmlformats.org/drawingml/2006/main">
          <a:off x="6027965" y="759279"/>
          <a:ext cx="1090392" cy="69396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 anchor="ctr"/>
        <a:lstStyle xmlns:a="http://schemas.openxmlformats.org/drawingml/2006/main"/>
        <a:p xmlns:a="http://schemas.openxmlformats.org/drawingml/2006/main">
          <a:pPr algn="ctr"/>
          <a:r>
            <a:rPr lang="en-GB" sz="1400" b="1">
              <a:latin typeface="Times New Roman" panose="02020603050405020304" pitchFamily="18" charset="0"/>
              <a:cs typeface="Times New Roman" panose="02020603050405020304" pitchFamily="18" charset="0"/>
            </a:rPr>
            <a:t>Houses</a:t>
          </a:r>
          <a:r>
            <a:rPr lang="en-GB" sz="1400" b="1" baseline="0">
              <a:latin typeface="Times New Roman" panose="02020603050405020304" pitchFamily="18" charset="0"/>
              <a:cs typeface="Times New Roman" panose="02020603050405020304" pitchFamily="18" charset="0"/>
            </a:rPr>
            <a:t> per Hectare</a:t>
          </a:r>
          <a:endParaRPr lang="en-GB" sz="1400" b="1">
            <a:latin typeface="Times New Roman" panose="02020603050405020304" pitchFamily="18" charset="0"/>
            <a:cs typeface="Times New Roman" panose="02020603050405020304" pitchFamily="18" charset="0"/>
          </a:endParaRPr>
        </a:p>
      </cdr:txBody>
    </cdr:sp>
  </cdr:relSizeAnchor>
</c:userShapes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736146</xdr:colOff>
      <xdr:row>13</xdr:row>
      <xdr:rowOff>91540</xdr:rowOff>
    </xdr:from>
    <xdr:to>
      <xdr:col>12</xdr:col>
      <xdr:colOff>544286</xdr:colOff>
      <xdr:row>28</xdr:row>
      <xdr:rowOff>87457</xdr:rowOff>
    </xdr:to>
    <xdr:sp macro="[0]!BEP__AN_GB" textlink="">
      <xdr:nvSpPr>
        <xdr:cNvPr id="2" name="Rounded Rectangle 1">
          <a:extLst>
            <a:ext uri="{FF2B5EF4-FFF2-40B4-BE49-F238E27FC236}">
              <a16:creationId xmlns:a16="http://schemas.microsoft.com/office/drawing/2014/main" id="{4329E885-AAAD-42F8-A3FF-71E8466AC169}"/>
            </a:ext>
          </a:extLst>
        </xdr:cNvPr>
        <xdr:cNvSpPr/>
      </xdr:nvSpPr>
      <xdr:spPr>
        <a:xfrm>
          <a:off x="4479471" y="3187165"/>
          <a:ext cx="7532915" cy="2872467"/>
        </a:xfrm>
        <a:prstGeom prst="roundRect">
          <a:avLst>
            <a:gd name="adj" fmla="val 8866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2000" b="1"/>
            <a:t>Calculate sizes</a:t>
          </a:r>
        </a:p>
      </xdr:txBody>
    </xdr:sp>
    <xdr:clientData/>
  </xdr:twoCellAnchor>
  <xdr:twoCellAnchor>
    <xdr:from>
      <xdr:col>23</xdr:col>
      <xdr:colOff>0</xdr:colOff>
      <xdr:row>62</xdr:row>
      <xdr:rowOff>0</xdr:rowOff>
    </xdr:from>
    <xdr:to>
      <xdr:col>30</xdr:col>
      <xdr:colOff>579506</xdr:colOff>
      <xdr:row>84</xdr:row>
      <xdr:rowOff>159925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22C75A1B-0AD5-44B9-BA44-A3297C57C55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29</xdr:col>
      <xdr:colOff>326571</xdr:colOff>
      <xdr:row>4</xdr:row>
      <xdr:rowOff>193222</xdr:rowOff>
    </xdr:from>
    <xdr:to>
      <xdr:col>41</xdr:col>
      <xdr:colOff>178714</xdr:colOff>
      <xdr:row>20</xdr:row>
      <xdr:rowOff>92079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D091CE34-4C5B-44BA-B185-B3EC4C2C3CF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0.83722</cdr:x>
      <cdr:y>0.21091</cdr:y>
    </cdr:from>
    <cdr:to>
      <cdr:x>0.98866</cdr:x>
      <cdr:y>0.40368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0810DB3A-209F-4916-A494-B36F92F1D269}"/>
            </a:ext>
          </a:extLst>
        </cdr:cNvPr>
        <cdr:cNvSpPr txBox="1"/>
      </cdr:nvSpPr>
      <cdr:spPr>
        <a:xfrm xmlns:a="http://schemas.openxmlformats.org/drawingml/2006/main">
          <a:off x="6027965" y="759279"/>
          <a:ext cx="1090392" cy="69396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 anchor="ctr"/>
        <a:lstStyle xmlns:a="http://schemas.openxmlformats.org/drawingml/2006/main"/>
        <a:p xmlns:a="http://schemas.openxmlformats.org/drawingml/2006/main">
          <a:pPr algn="ctr"/>
          <a:r>
            <a:rPr lang="en-GB" sz="1400" b="1">
              <a:latin typeface="Times New Roman" panose="02020603050405020304" pitchFamily="18" charset="0"/>
              <a:cs typeface="Times New Roman" panose="02020603050405020304" pitchFamily="18" charset="0"/>
            </a:rPr>
            <a:t>Houses</a:t>
          </a:r>
          <a:r>
            <a:rPr lang="en-GB" sz="1400" b="1" baseline="0">
              <a:latin typeface="Times New Roman" panose="02020603050405020304" pitchFamily="18" charset="0"/>
              <a:cs typeface="Times New Roman" panose="02020603050405020304" pitchFamily="18" charset="0"/>
            </a:rPr>
            <a:t> per Hectare</a:t>
          </a:r>
          <a:endParaRPr lang="en-GB" sz="1400" b="1">
            <a:latin typeface="Times New Roman" panose="02020603050405020304" pitchFamily="18" charset="0"/>
            <a:cs typeface="Times New Roman" panose="02020603050405020304" pitchFamily="18" charset="0"/>
          </a:endParaRPr>
        </a:p>
      </cdr:txBody>
    </cdr:sp>
  </cdr:relSizeAnchor>
</c:userShapes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736146</xdr:colOff>
      <xdr:row>13</xdr:row>
      <xdr:rowOff>91540</xdr:rowOff>
    </xdr:from>
    <xdr:to>
      <xdr:col>12</xdr:col>
      <xdr:colOff>544286</xdr:colOff>
      <xdr:row>28</xdr:row>
      <xdr:rowOff>87457</xdr:rowOff>
    </xdr:to>
    <xdr:sp macro="[0]!BEP__DH_AN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/>
      </xdr:nvSpPr>
      <xdr:spPr>
        <a:xfrm>
          <a:off x="5784396" y="2989861"/>
          <a:ext cx="8475890" cy="2880632"/>
        </a:xfrm>
        <a:prstGeom prst="roundRect">
          <a:avLst>
            <a:gd name="adj" fmla="val 8866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2000" b="1"/>
            <a:t>Calculate sizes</a:t>
          </a:r>
        </a:p>
      </xdr:txBody>
    </xdr:sp>
    <xdr:clientData/>
  </xdr:twoCellAnchor>
  <xdr:twoCellAnchor>
    <xdr:from>
      <xdr:col>23</xdr:col>
      <xdr:colOff>0</xdr:colOff>
      <xdr:row>62</xdr:row>
      <xdr:rowOff>0</xdr:rowOff>
    </xdr:from>
    <xdr:to>
      <xdr:col>30</xdr:col>
      <xdr:colOff>579506</xdr:colOff>
      <xdr:row>84</xdr:row>
      <xdr:rowOff>159925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AE3E4C67-9685-4A69-9460-C3ACD0D99F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29</xdr:col>
      <xdr:colOff>326571</xdr:colOff>
      <xdr:row>4</xdr:row>
      <xdr:rowOff>193222</xdr:rowOff>
    </xdr:from>
    <xdr:to>
      <xdr:col>41</xdr:col>
      <xdr:colOff>178714</xdr:colOff>
      <xdr:row>20</xdr:row>
      <xdr:rowOff>92079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5A68CB57-C914-4601-8E1D-5027326507F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0.83722</cdr:x>
      <cdr:y>0.21091</cdr:y>
    </cdr:from>
    <cdr:to>
      <cdr:x>0.98866</cdr:x>
      <cdr:y>0.40368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0810DB3A-209F-4916-A494-B36F92F1D269}"/>
            </a:ext>
          </a:extLst>
        </cdr:cNvPr>
        <cdr:cNvSpPr txBox="1"/>
      </cdr:nvSpPr>
      <cdr:spPr>
        <a:xfrm xmlns:a="http://schemas.openxmlformats.org/drawingml/2006/main">
          <a:off x="6027965" y="759279"/>
          <a:ext cx="1090392" cy="69396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 anchor="ctr"/>
        <a:lstStyle xmlns:a="http://schemas.openxmlformats.org/drawingml/2006/main"/>
        <a:p xmlns:a="http://schemas.openxmlformats.org/drawingml/2006/main">
          <a:pPr algn="ctr"/>
          <a:r>
            <a:rPr lang="en-GB" sz="1400" b="1">
              <a:latin typeface="Times New Roman" panose="02020603050405020304" pitchFamily="18" charset="0"/>
              <a:cs typeface="Times New Roman" panose="02020603050405020304" pitchFamily="18" charset="0"/>
            </a:rPr>
            <a:t>Houses</a:t>
          </a:r>
          <a:r>
            <a:rPr lang="en-GB" sz="1400" b="1" baseline="0">
              <a:latin typeface="Times New Roman" panose="02020603050405020304" pitchFamily="18" charset="0"/>
              <a:cs typeface="Times New Roman" panose="02020603050405020304" pitchFamily="18" charset="0"/>
            </a:rPr>
            <a:t> per Hectare</a:t>
          </a:r>
          <a:endParaRPr lang="en-GB" sz="1400" b="1">
            <a:latin typeface="Times New Roman" panose="02020603050405020304" pitchFamily="18" charset="0"/>
            <a:cs typeface="Times New Roman" panose="02020603050405020304" pitchFamily="18" charset="0"/>
          </a:endParaRPr>
        </a:p>
      </cdr:txBody>
    </cdr:sp>
  </cdr:relSizeAnchor>
</c:userShapes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736146</xdr:colOff>
      <xdr:row>13</xdr:row>
      <xdr:rowOff>91540</xdr:rowOff>
    </xdr:from>
    <xdr:to>
      <xdr:col>12</xdr:col>
      <xdr:colOff>544286</xdr:colOff>
      <xdr:row>28</xdr:row>
      <xdr:rowOff>87457</xdr:rowOff>
    </xdr:to>
    <xdr:sp macro="[0]!BEP__DH_ASHP" textlink="">
      <xdr:nvSpPr>
        <xdr:cNvPr id="2" name="Rounded Rectangle 1">
          <a:extLst>
            <a:ext uri="{FF2B5EF4-FFF2-40B4-BE49-F238E27FC236}">
              <a16:creationId xmlns:a16="http://schemas.microsoft.com/office/drawing/2014/main" id="{BE6C98BF-17E7-49CA-8F01-CE0AF8B9B483}"/>
            </a:ext>
          </a:extLst>
        </xdr:cNvPr>
        <xdr:cNvSpPr/>
      </xdr:nvSpPr>
      <xdr:spPr>
        <a:xfrm>
          <a:off x="4479471" y="3187165"/>
          <a:ext cx="7532915" cy="2872467"/>
        </a:xfrm>
        <a:prstGeom prst="roundRect">
          <a:avLst>
            <a:gd name="adj" fmla="val 8866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2000" b="1"/>
            <a:t>Calculate sizes</a:t>
          </a:r>
        </a:p>
      </xdr:txBody>
    </xdr:sp>
    <xdr:clientData/>
  </xdr:twoCellAnchor>
  <xdr:twoCellAnchor>
    <xdr:from>
      <xdr:col>23</xdr:col>
      <xdr:colOff>0</xdr:colOff>
      <xdr:row>62</xdr:row>
      <xdr:rowOff>0</xdr:rowOff>
    </xdr:from>
    <xdr:to>
      <xdr:col>30</xdr:col>
      <xdr:colOff>579506</xdr:colOff>
      <xdr:row>84</xdr:row>
      <xdr:rowOff>159925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87297426-39DC-4383-ADA1-E99EB731C07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29</xdr:col>
      <xdr:colOff>326571</xdr:colOff>
      <xdr:row>4</xdr:row>
      <xdr:rowOff>193222</xdr:rowOff>
    </xdr:from>
    <xdr:to>
      <xdr:col>41</xdr:col>
      <xdr:colOff>178714</xdr:colOff>
      <xdr:row>20</xdr:row>
      <xdr:rowOff>92079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754F00BC-9D24-48F7-881C-F8086E74363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0.xml><?xml version="1.0" encoding="utf-8"?>
<c:userShapes xmlns:c="http://schemas.openxmlformats.org/drawingml/2006/chart">
  <cdr:relSizeAnchor xmlns:cdr="http://schemas.openxmlformats.org/drawingml/2006/chartDrawing">
    <cdr:from>
      <cdr:x>0.83722</cdr:x>
      <cdr:y>0.21091</cdr:y>
    </cdr:from>
    <cdr:to>
      <cdr:x>0.98866</cdr:x>
      <cdr:y>0.40368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0810DB3A-209F-4916-A494-B36F92F1D269}"/>
            </a:ext>
          </a:extLst>
        </cdr:cNvPr>
        <cdr:cNvSpPr txBox="1"/>
      </cdr:nvSpPr>
      <cdr:spPr>
        <a:xfrm xmlns:a="http://schemas.openxmlformats.org/drawingml/2006/main">
          <a:off x="6027965" y="759279"/>
          <a:ext cx="1090392" cy="69396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 anchor="ctr"/>
        <a:lstStyle xmlns:a="http://schemas.openxmlformats.org/drawingml/2006/main"/>
        <a:p xmlns:a="http://schemas.openxmlformats.org/drawingml/2006/main">
          <a:pPr algn="ctr"/>
          <a:r>
            <a:rPr lang="en-GB" sz="1400" b="1">
              <a:latin typeface="Times New Roman" panose="02020603050405020304" pitchFamily="18" charset="0"/>
              <a:cs typeface="Times New Roman" panose="02020603050405020304" pitchFamily="18" charset="0"/>
            </a:rPr>
            <a:t>Houses</a:t>
          </a:r>
          <a:r>
            <a:rPr lang="en-GB" sz="1400" b="1" baseline="0">
              <a:latin typeface="Times New Roman" panose="02020603050405020304" pitchFamily="18" charset="0"/>
              <a:cs typeface="Times New Roman" panose="02020603050405020304" pitchFamily="18" charset="0"/>
            </a:rPr>
            <a:t> per Hectare</a:t>
          </a:r>
          <a:endParaRPr lang="en-GB" sz="1400" b="1">
            <a:latin typeface="Times New Roman" panose="02020603050405020304" pitchFamily="18" charset="0"/>
            <a:cs typeface="Times New Roman" panose="02020603050405020304" pitchFamily="18" charset="0"/>
          </a:endParaRPr>
        </a:p>
      </cdr:txBody>
    </cdr:sp>
  </cdr:relSizeAnchor>
</c:userShapes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736146</xdr:colOff>
      <xdr:row>13</xdr:row>
      <xdr:rowOff>91540</xdr:rowOff>
    </xdr:from>
    <xdr:to>
      <xdr:col>12</xdr:col>
      <xdr:colOff>544286</xdr:colOff>
      <xdr:row>28</xdr:row>
      <xdr:rowOff>87457</xdr:rowOff>
    </xdr:to>
    <xdr:sp macro="[0]!BEP__DH_GB" textlink="">
      <xdr:nvSpPr>
        <xdr:cNvPr id="2" name="Rounded Rectangle 1">
          <a:extLst>
            <a:ext uri="{FF2B5EF4-FFF2-40B4-BE49-F238E27FC236}">
              <a16:creationId xmlns:a16="http://schemas.microsoft.com/office/drawing/2014/main" id="{054B1698-702C-4ECF-9756-8BD8ADC41FFE}"/>
            </a:ext>
          </a:extLst>
        </xdr:cNvPr>
        <xdr:cNvSpPr/>
      </xdr:nvSpPr>
      <xdr:spPr>
        <a:xfrm>
          <a:off x="4479471" y="3187165"/>
          <a:ext cx="7532915" cy="2872467"/>
        </a:xfrm>
        <a:prstGeom prst="roundRect">
          <a:avLst>
            <a:gd name="adj" fmla="val 8866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2000" b="1"/>
            <a:t>Calculate sizes</a:t>
          </a:r>
        </a:p>
      </xdr:txBody>
    </xdr:sp>
    <xdr:clientData/>
  </xdr:twoCellAnchor>
  <xdr:twoCellAnchor>
    <xdr:from>
      <xdr:col>23</xdr:col>
      <xdr:colOff>0</xdr:colOff>
      <xdr:row>62</xdr:row>
      <xdr:rowOff>0</xdr:rowOff>
    </xdr:from>
    <xdr:to>
      <xdr:col>30</xdr:col>
      <xdr:colOff>579506</xdr:colOff>
      <xdr:row>84</xdr:row>
      <xdr:rowOff>159925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3CE9FC2D-D970-4CAF-8909-7E04B2CA4A4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29</xdr:col>
      <xdr:colOff>326571</xdr:colOff>
      <xdr:row>4</xdr:row>
      <xdr:rowOff>193222</xdr:rowOff>
    </xdr:from>
    <xdr:to>
      <xdr:col>41</xdr:col>
      <xdr:colOff>178714</xdr:colOff>
      <xdr:row>20</xdr:row>
      <xdr:rowOff>92079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77E6F685-6BD1-4833-88BE-D65198D8F2C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2.xml><?xml version="1.0" encoding="utf-8"?>
<c:userShapes xmlns:c="http://schemas.openxmlformats.org/drawingml/2006/chart">
  <cdr:relSizeAnchor xmlns:cdr="http://schemas.openxmlformats.org/drawingml/2006/chartDrawing">
    <cdr:from>
      <cdr:x>0.83722</cdr:x>
      <cdr:y>0.21091</cdr:y>
    </cdr:from>
    <cdr:to>
      <cdr:x>0.98866</cdr:x>
      <cdr:y>0.40368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0810DB3A-209F-4916-A494-B36F92F1D269}"/>
            </a:ext>
          </a:extLst>
        </cdr:cNvPr>
        <cdr:cNvSpPr txBox="1"/>
      </cdr:nvSpPr>
      <cdr:spPr>
        <a:xfrm xmlns:a="http://schemas.openxmlformats.org/drawingml/2006/main">
          <a:off x="6027965" y="759279"/>
          <a:ext cx="1090392" cy="69396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 anchor="ctr"/>
        <a:lstStyle xmlns:a="http://schemas.openxmlformats.org/drawingml/2006/main"/>
        <a:p xmlns:a="http://schemas.openxmlformats.org/drawingml/2006/main">
          <a:pPr algn="ctr"/>
          <a:r>
            <a:rPr lang="en-GB" sz="1400" b="1">
              <a:latin typeface="Times New Roman" panose="02020603050405020304" pitchFamily="18" charset="0"/>
              <a:cs typeface="Times New Roman" panose="02020603050405020304" pitchFamily="18" charset="0"/>
            </a:rPr>
            <a:t>Houses</a:t>
          </a:r>
          <a:r>
            <a:rPr lang="en-GB" sz="1400" b="1" baseline="0">
              <a:latin typeface="Times New Roman" panose="02020603050405020304" pitchFamily="18" charset="0"/>
              <a:cs typeface="Times New Roman" panose="02020603050405020304" pitchFamily="18" charset="0"/>
            </a:rPr>
            <a:t> per Hectare</a:t>
          </a:r>
          <a:endParaRPr lang="en-GB" sz="1400" b="1">
            <a:latin typeface="Times New Roman" panose="02020603050405020304" pitchFamily="18" charset="0"/>
            <a:cs typeface="Times New Roman" panose="02020603050405020304" pitchFamily="18" charset="0"/>
          </a:endParaRPr>
        </a:p>
      </cdr:txBody>
    </cdr:sp>
  </cdr:relSizeAnchor>
</c:userShapes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33</xdr:col>
      <xdr:colOff>469446</xdr:colOff>
      <xdr:row>0</xdr:row>
      <xdr:rowOff>184377</xdr:rowOff>
    </xdr:from>
    <xdr:to>
      <xdr:col>45</xdr:col>
      <xdr:colOff>354246</xdr:colOff>
      <xdr:row>38</xdr:row>
      <xdr:rowOff>145377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66AD7415-0DE6-4FC4-808B-0547E4ADBCC6}"/>
            </a:ext>
          </a:extLst>
        </xdr:cNvPr>
        <xdr:cNvGrpSpPr/>
      </xdr:nvGrpSpPr>
      <xdr:grpSpPr>
        <a:xfrm>
          <a:off x="22556240" y="184377"/>
          <a:ext cx="7146212" cy="7390500"/>
          <a:chOff x="8972550" y="252412"/>
          <a:chExt cx="7200000" cy="7200000"/>
        </a:xfrm>
      </xdr:grpSpPr>
      <xdr:graphicFrame macro="">
        <xdr:nvGraphicFramePr>
          <xdr:cNvPr id="2" name="Chart 1">
            <a:extLst>
              <a:ext uri="{FF2B5EF4-FFF2-40B4-BE49-F238E27FC236}">
                <a16:creationId xmlns:a16="http://schemas.microsoft.com/office/drawing/2014/main" id="{D67BF6F8-9D3F-4A1F-9456-BCF540993029}"/>
              </a:ext>
            </a:extLst>
          </xdr:cNvPr>
          <xdr:cNvGraphicFramePr/>
        </xdr:nvGraphicFramePr>
        <xdr:xfrm>
          <a:off x="8972550" y="252412"/>
          <a:ext cx="7200000" cy="72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">
        <xdr:nvSpPr>
          <xdr:cNvPr id="3" name="TextBox 2">
            <a:extLst>
              <a:ext uri="{FF2B5EF4-FFF2-40B4-BE49-F238E27FC236}">
                <a16:creationId xmlns:a16="http://schemas.microsoft.com/office/drawing/2014/main" id="{E174BD77-3EB1-4D03-8A47-DC9A7CA24A9D}"/>
              </a:ext>
            </a:extLst>
          </xdr:cNvPr>
          <xdr:cNvSpPr txBox="1"/>
        </xdr:nvSpPr>
        <xdr:spPr>
          <a:xfrm>
            <a:off x="9412356" y="6957393"/>
            <a:ext cx="6208643" cy="41413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GB" sz="1100" b="1">
                <a:latin typeface="Times New Roman" panose="02020603050405020304" pitchFamily="18" charset="0"/>
                <a:cs typeface="Times New Roman" panose="02020603050405020304" pitchFamily="18" charset="0"/>
              </a:rPr>
              <a:t>*For 25 Properties/Hectare the BEP of ASHP</a:t>
            </a:r>
            <a:r>
              <a:rPr lang="en-GB" sz="1100" b="1" baseline="0">
                <a:latin typeface="Times New Roman" panose="02020603050405020304" pitchFamily="18" charset="0"/>
                <a:cs typeface="Times New Roman" panose="02020603050405020304" pitchFamily="18" charset="0"/>
              </a:rPr>
              <a:t>-DH is 905, not included for illustration clarity reasons</a:t>
            </a:r>
          </a:p>
          <a:p>
            <a:r>
              <a:rPr lang="en-GB" sz="1100" b="1" baseline="0">
                <a:latin typeface="Times New Roman" panose="02020603050405020304" pitchFamily="18" charset="0"/>
                <a:cs typeface="Times New Roman" panose="02020603050405020304" pitchFamily="18" charset="0"/>
              </a:rPr>
              <a:t>** For 10 Properties/Hectare there is no BEP</a:t>
            </a:r>
            <a:endParaRPr lang="en-GB" sz="1100" b="1">
              <a:latin typeface="Times New Roman" panose="02020603050405020304" pitchFamily="18" charset="0"/>
              <a:cs typeface="Times New Roman" panose="02020603050405020304" pitchFamily="18" charset="0"/>
            </a:endParaRPr>
          </a:p>
        </xdr:txBody>
      </xdr:sp>
      <xdr:sp macro="" textlink="">
        <xdr:nvSpPr>
          <xdr:cNvPr id="4" name="TextBox 3">
            <a:extLst>
              <a:ext uri="{FF2B5EF4-FFF2-40B4-BE49-F238E27FC236}">
                <a16:creationId xmlns:a16="http://schemas.microsoft.com/office/drawing/2014/main" id="{64483329-2C9C-4FD5-B1B1-EBC0AC42982A}"/>
              </a:ext>
            </a:extLst>
          </xdr:cNvPr>
          <xdr:cNvSpPr txBox="1"/>
        </xdr:nvSpPr>
        <xdr:spPr>
          <a:xfrm>
            <a:off x="10351477" y="5687365"/>
            <a:ext cx="4572000" cy="581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GB" sz="1100">
                <a:latin typeface="Times New Roman" panose="02020603050405020304" pitchFamily="18" charset="0"/>
                <a:cs typeface="Times New Roman" panose="02020603050405020304" pitchFamily="18" charset="0"/>
              </a:rPr>
              <a:t>*</a:t>
            </a:r>
          </a:p>
          <a:p>
            <a:r>
              <a:rPr lang="en-GB" sz="1100">
                <a:latin typeface="Times New Roman" panose="02020603050405020304" pitchFamily="18" charset="0"/>
                <a:cs typeface="Times New Roman" panose="02020603050405020304" pitchFamily="18" charset="0"/>
              </a:rPr>
              <a:t>**</a:t>
            </a:r>
          </a:p>
        </xdr:txBody>
      </xdr:sp>
    </xdr:grpSp>
    <xdr:clientData/>
  </xdr:twoCellAnchor>
  <xdr:twoCellAnchor>
    <xdr:from>
      <xdr:col>21</xdr:col>
      <xdr:colOff>0</xdr:colOff>
      <xdr:row>1</xdr:row>
      <xdr:rowOff>0</xdr:rowOff>
    </xdr:from>
    <xdr:to>
      <xdr:col>32</xdr:col>
      <xdr:colOff>494400</xdr:colOff>
      <xdr:row>23</xdr:row>
      <xdr:rowOff>129000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30AAC039-BFB4-418E-9E5C-6A656439079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21</xdr:col>
      <xdr:colOff>172793</xdr:colOff>
      <xdr:row>27</xdr:row>
      <xdr:rowOff>149087</xdr:rowOff>
    </xdr:from>
    <xdr:to>
      <xdr:col>33</xdr:col>
      <xdr:colOff>56279</xdr:colOff>
      <xdr:row>50</xdr:row>
      <xdr:rowOff>87587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D6BD6E73-9A02-4192-9107-45B6B18C34A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4.xml><?xml version="1.0" encoding="utf-8"?>
<c:userShapes xmlns:c="http://schemas.openxmlformats.org/drawingml/2006/chart">
  <cdr:relSizeAnchor xmlns:cdr="http://schemas.openxmlformats.org/drawingml/2006/chartDrawing">
    <cdr:from>
      <cdr:x>0</cdr:x>
      <cdr:y>0.90495</cdr:y>
    </cdr:from>
    <cdr:to>
      <cdr:x>0.86231</cdr:x>
      <cdr:y>1</cdr:y>
    </cdr:to>
    <cdr:sp macro="" textlink="">
      <cdr:nvSpPr>
        <cdr:cNvPr id="3" name="TextBox 2">
          <a:extLst xmlns:a="http://schemas.openxmlformats.org/drawingml/2006/main">
            <a:ext uri="{FF2B5EF4-FFF2-40B4-BE49-F238E27FC236}">
              <a16:creationId xmlns:a16="http://schemas.microsoft.com/office/drawing/2014/main" id="{E174BD77-3EB1-4D03-8A47-DC9A7CA24A9D}"/>
            </a:ext>
          </a:extLst>
        </cdr:cNvPr>
        <cdr:cNvSpPr txBox="1"/>
      </cdr:nvSpPr>
      <cdr:spPr>
        <a:xfrm xmlns:a="http://schemas.openxmlformats.org/drawingml/2006/main">
          <a:off x="0" y="3909391"/>
          <a:ext cx="6186055" cy="410609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GB" sz="1100" b="1">
              <a:latin typeface="Times New Roman" panose="02020603050405020304" pitchFamily="18" charset="0"/>
              <a:cs typeface="Times New Roman" panose="02020603050405020304" pitchFamily="18" charset="0"/>
            </a:rPr>
            <a:t>*No BEP,</a:t>
          </a:r>
          <a:r>
            <a:rPr lang="en-GB" sz="1100" b="1" baseline="0">
              <a:latin typeface="Times New Roman" panose="02020603050405020304" pitchFamily="18" charset="0"/>
              <a:cs typeface="Times New Roman" panose="02020603050405020304" pitchFamily="18" charset="0"/>
            </a:rPr>
            <a:t> ASHP always better</a:t>
          </a:r>
        </a:p>
        <a:p xmlns:a="http://schemas.openxmlformats.org/drawingml/2006/main">
          <a:r>
            <a:rPr lang="en-GB" sz="1100" b="1" baseline="0">
              <a:latin typeface="Times New Roman" panose="02020603050405020304" pitchFamily="18" charset="0"/>
              <a:cs typeface="Times New Roman" panose="02020603050405020304" pitchFamily="18" charset="0"/>
            </a:rPr>
            <a:t>** BEP of DH-ASHP is 905, not included for illustration clarity reasons</a:t>
          </a:r>
          <a:endParaRPr lang="en-GB" sz="1100" b="1">
            <a:latin typeface="Times New Roman" panose="02020603050405020304" pitchFamily="18" charset="0"/>
            <a:cs typeface="Times New Roman" panose="02020603050405020304" pitchFamily="18" charset="0"/>
          </a:endParaRPr>
        </a:p>
      </cdr:txBody>
    </cdr:sp>
  </cdr:relSizeAnchor>
  <cdr:relSizeAnchor xmlns:cdr="http://schemas.openxmlformats.org/drawingml/2006/chartDrawing">
    <cdr:from>
      <cdr:x>0.16283</cdr:x>
      <cdr:y>0.64984</cdr:y>
    </cdr:from>
    <cdr:to>
      <cdr:x>0.19035</cdr:x>
      <cdr:y>0.69531</cdr:y>
    </cdr:to>
    <cdr:sp macro="" textlink="">
      <cdr:nvSpPr>
        <cdr:cNvPr id="2" name="TextBox 3">
          <a:extLst xmlns:a="http://schemas.openxmlformats.org/drawingml/2006/main">
            <a:ext uri="{FF2B5EF4-FFF2-40B4-BE49-F238E27FC236}">
              <a16:creationId xmlns:a16="http://schemas.microsoft.com/office/drawing/2014/main" id="{64483329-2C9C-4FD5-B1B1-EBC0AC42982A}"/>
            </a:ext>
          </a:extLst>
        </cdr:cNvPr>
        <cdr:cNvSpPr txBox="1"/>
      </cdr:nvSpPr>
      <cdr:spPr>
        <a:xfrm xmlns:a="http://schemas.openxmlformats.org/drawingml/2006/main" rot="16200000">
          <a:off x="1168607" y="2806820"/>
          <a:ext cx="196433" cy="197405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GB" sz="1200">
              <a:latin typeface="Times New Roman" panose="02020603050405020304" pitchFamily="18" charset="0"/>
              <a:cs typeface="Times New Roman" panose="02020603050405020304" pitchFamily="18" charset="0"/>
            </a:rPr>
            <a:t>*</a:t>
          </a:r>
        </a:p>
      </cdr:txBody>
    </cdr:sp>
  </cdr:relSizeAnchor>
  <cdr:relSizeAnchor xmlns:cdr="http://schemas.openxmlformats.org/drawingml/2006/chartDrawing">
    <cdr:from>
      <cdr:x>0.16289</cdr:x>
      <cdr:y>0.6283</cdr:y>
    </cdr:from>
    <cdr:to>
      <cdr:x>0.19041</cdr:x>
      <cdr:y>0.67377</cdr:y>
    </cdr:to>
    <cdr:sp macro="" textlink="">
      <cdr:nvSpPr>
        <cdr:cNvPr id="6" name="TextBox 3">
          <a:extLst xmlns:a="http://schemas.openxmlformats.org/drawingml/2006/main">
            <a:ext uri="{FF2B5EF4-FFF2-40B4-BE49-F238E27FC236}">
              <a16:creationId xmlns:a16="http://schemas.microsoft.com/office/drawing/2014/main" id="{7BDDC669-48DB-4099-8B32-F0E80C6C63A9}"/>
            </a:ext>
          </a:extLst>
        </cdr:cNvPr>
        <cdr:cNvSpPr txBox="1"/>
      </cdr:nvSpPr>
      <cdr:spPr>
        <a:xfrm xmlns:a="http://schemas.openxmlformats.org/drawingml/2006/main" rot="16200000">
          <a:off x="1176216" y="2713198"/>
          <a:ext cx="196432" cy="198522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GB" sz="1200">
              <a:latin typeface="Times New Roman" panose="02020603050405020304" pitchFamily="18" charset="0"/>
              <a:cs typeface="Times New Roman" panose="02020603050405020304" pitchFamily="18" charset="0"/>
            </a:rPr>
            <a:t>*</a:t>
          </a:r>
        </a:p>
      </cdr:txBody>
    </cdr:sp>
  </cdr:relSizeAnchor>
  <cdr:relSizeAnchor xmlns:cdr="http://schemas.openxmlformats.org/drawingml/2006/chartDrawing">
    <cdr:from>
      <cdr:x>0.18054</cdr:x>
      <cdr:y>0.65007</cdr:y>
    </cdr:from>
    <cdr:to>
      <cdr:x>0.20806</cdr:x>
      <cdr:y>0.69554</cdr:y>
    </cdr:to>
    <cdr:sp macro="" textlink="">
      <cdr:nvSpPr>
        <cdr:cNvPr id="7" name="TextBox 3">
          <a:extLst xmlns:a="http://schemas.openxmlformats.org/drawingml/2006/main">
            <a:ext uri="{FF2B5EF4-FFF2-40B4-BE49-F238E27FC236}">
              <a16:creationId xmlns:a16="http://schemas.microsoft.com/office/drawing/2014/main" id="{7BDDC669-48DB-4099-8B32-F0E80C6C63A9}"/>
            </a:ext>
          </a:extLst>
        </cdr:cNvPr>
        <cdr:cNvSpPr txBox="1"/>
      </cdr:nvSpPr>
      <cdr:spPr>
        <a:xfrm xmlns:a="http://schemas.openxmlformats.org/drawingml/2006/main" rot="16200000">
          <a:off x="1295631" y="2807806"/>
          <a:ext cx="196433" cy="197404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GB" sz="1200">
              <a:latin typeface="Times New Roman" panose="02020603050405020304" pitchFamily="18" charset="0"/>
              <a:cs typeface="Times New Roman" panose="02020603050405020304" pitchFamily="18" charset="0"/>
            </a:rPr>
            <a:t>*</a:t>
          </a:r>
        </a:p>
      </cdr:txBody>
    </cdr:sp>
  </cdr:relSizeAnchor>
</c:userShapes>
</file>

<file path=xl/drawings/drawing15.xml><?xml version="1.0" encoding="utf-8"?>
<c:userShapes xmlns:c="http://schemas.openxmlformats.org/drawingml/2006/chart">
  <cdr:relSizeAnchor xmlns:cdr="http://schemas.openxmlformats.org/drawingml/2006/chartDrawing">
    <cdr:from>
      <cdr:x>0</cdr:x>
      <cdr:y>0.9107</cdr:y>
    </cdr:from>
    <cdr:to>
      <cdr:x>0.86231</cdr:x>
      <cdr:y>0.99041</cdr:y>
    </cdr:to>
    <cdr:sp macro="" textlink="">
      <cdr:nvSpPr>
        <cdr:cNvPr id="3" name="TextBox 2">
          <a:extLst xmlns:a="http://schemas.openxmlformats.org/drawingml/2006/main">
            <a:ext uri="{FF2B5EF4-FFF2-40B4-BE49-F238E27FC236}">
              <a16:creationId xmlns:a16="http://schemas.microsoft.com/office/drawing/2014/main" id="{E174BD77-3EB1-4D03-8A47-DC9A7CA24A9D}"/>
            </a:ext>
          </a:extLst>
        </cdr:cNvPr>
        <cdr:cNvSpPr txBox="1"/>
      </cdr:nvSpPr>
      <cdr:spPr>
        <a:xfrm xmlns:a="http://schemas.openxmlformats.org/drawingml/2006/main">
          <a:off x="0" y="3934240"/>
          <a:ext cx="6240057" cy="34434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GB" sz="1100" b="1">
              <a:latin typeface="Times New Roman" panose="02020603050405020304" pitchFamily="18" charset="0"/>
              <a:cs typeface="Times New Roman" panose="02020603050405020304" pitchFamily="18" charset="0"/>
            </a:rPr>
            <a:t>*No BEP, GB always better</a:t>
          </a:r>
          <a:endParaRPr lang="en-GB" sz="1100" b="1" baseline="0">
            <a:latin typeface="Times New Roman" panose="02020603050405020304" pitchFamily="18" charset="0"/>
            <a:cs typeface="Times New Roman" panose="02020603050405020304" pitchFamily="18" charset="0"/>
          </a:endParaRPr>
        </a:p>
        <a:p xmlns:a="http://schemas.openxmlformats.org/drawingml/2006/main">
          <a:r>
            <a:rPr lang="en-GB" sz="1100" b="1" baseline="0">
              <a:latin typeface="Times New Roman" panose="02020603050405020304" pitchFamily="18" charset="0"/>
              <a:cs typeface="Times New Roman" panose="02020603050405020304" pitchFamily="18" charset="0"/>
            </a:rPr>
            <a:t>** BEP of DH-GB is 486, not included for illustration clarity reason</a:t>
          </a:r>
          <a:endParaRPr lang="en-GB" sz="1100" b="1">
            <a:latin typeface="Times New Roman" panose="02020603050405020304" pitchFamily="18" charset="0"/>
            <a:cs typeface="Times New Roman" panose="02020603050405020304" pitchFamily="18" charset="0"/>
          </a:endParaRPr>
        </a:p>
      </cdr:txBody>
    </cdr:sp>
  </cdr:relSizeAnchor>
  <cdr:relSizeAnchor xmlns:cdr="http://schemas.openxmlformats.org/drawingml/2006/chartDrawing">
    <cdr:from>
      <cdr:x>0.10462</cdr:x>
      <cdr:y>0.66289</cdr:y>
    </cdr:from>
    <cdr:to>
      <cdr:x>0.13214</cdr:x>
      <cdr:y>0.70836</cdr:y>
    </cdr:to>
    <cdr:sp macro="" textlink="">
      <cdr:nvSpPr>
        <cdr:cNvPr id="2" name="TextBox 3">
          <a:extLst xmlns:a="http://schemas.openxmlformats.org/drawingml/2006/main">
            <a:ext uri="{FF2B5EF4-FFF2-40B4-BE49-F238E27FC236}">
              <a16:creationId xmlns:a16="http://schemas.microsoft.com/office/drawing/2014/main" id="{64483329-2C9C-4FD5-B1B1-EBC0AC42982A}"/>
            </a:ext>
          </a:extLst>
        </cdr:cNvPr>
        <cdr:cNvSpPr txBox="1"/>
      </cdr:nvSpPr>
      <cdr:spPr>
        <a:xfrm xmlns:a="http://schemas.openxmlformats.org/drawingml/2006/main" rot="16200000">
          <a:off x="727984" y="3603500"/>
          <a:ext cx="245523" cy="19776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GB" sz="1200">
              <a:latin typeface="Times New Roman" panose="02020603050405020304" pitchFamily="18" charset="0"/>
              <a:cs typeface="Times New Roman" panose="02020603050405020304" pitchFamily="18" charset="0"/>
            </a:rPr>
            <a:t>*</a:t>
          </a:r>
        </a:p>
      </cdr:txBody>
    </cdr:sp>
  </cdr:relSizeAnchor>
  <cdr:relSizeAnchor xmlns:cdr="http://schemas.openxmlformats.org/drawingml/2006/chartDrawing">
    <cdr:from>
      <cdr:x>0.12398</cdr:x>
      <cdr:y>0.66289</cdr:y>
    </cdr:from>
    <cdr:to>
      <cdr:x>0.1515</cdr:x>
      <cdr:y>0.70836</cdr:y>
    </cdr:to>
    <cdr:sp macro="" textlink="">
      <cdr:nvSpPr>
        <cdr:cNvPr id="6" name="TextBox 3">
          <a:extLst xmlns:a="http://schemas.openxmlformats.org/drawingml/2006/main">
            <a:ext uri="{FF2B5EF4-FFF2-40B4-BE49-F238E27FC236}">
              <a16:creationId xmlns:a16="http://schemas.microsoft.com/office/drawing/2014/main" id="{457059B0-CC42-4415-8ECA-5F2A46E5D607}"/>
            </a:ext>
          </a:extLst>
        </cdr:cNvPr>
        <cdr:cNvSpPr txBox="1"/>
      </cdr:nvSpPr>
      <cdr:spPr>
        <a:xfrm xmlns:a="http://schemas.openxmlformats.org/drawingml/2006/main" rot="16200000">
          <a:off x="867136" y="3603500"/>
          <a:ext cx="245523" cy="19776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GB" sz="1200">
              <a:latin typeface="Times New Roman" panose="02020603050405020304" pitchFamily="18" charset="0"/>
              <a:cs typeface="Times New Roman" panose="02020603050405020304" pitchFamily="18" charset="0"/>
            </a:rPr>
            <a:t>*</a:t>
          </a:r>
        </a:p>
      </cdr:txBody>
    </cdr:sp>
  </cdr:relSizeAnchor>
  <cdr:relSizeAnchor xmlns:cdr="http://schemas.openxmlformats.org/drawingml/2006/chartDrawing">
    <cdr:from>
      <cdr:x>0.14335</cdr:x>
      <cdr:y>0.66289</cdr:y>
    </cdr:from>
    <cdr:to>
      <cdr:x>0.17081</cdr:x>
      <cdr:y>0.70836</cdr:y>
    </cdr:to>
    <cdr:sp macro="" textlink="">
      <cdr:nvSpPr>
        <cdr:cNvPr id="7" name="TextBox 3">
          <a:extLst xmlns:a="http://schemas.openxmlformats.org/drawingml/2006/main">
            <a:ext uri="{FF2B5EF4-FFF2-40B4-BE49-F238E27FC236}">
              <a16:creationId xmlns:a16="http://schemas.microsoft.com/office/drawing/2014/main" id="{457059B0-CC42-4415-8ECA-5F2A46E5D607}"/>
            </a:ext>
          </a:extLst>
        </cdr:cNvPr>
        <cdr:cNvSpPr txBox="1"/>
      </cdr:nvSpPr>
      <cdr:spPr>
        <a:xfrm xmlns:a="http://schemas.openxmlformats.org/drawingml/2006/main" rot="16200000">
          <a:off x="1006067" y="3603721"/>
          <a:ext cx="245523" cy="197324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GB" sz="1200">
              <a:latin typeface="Times New Roman" panose="02020603050405020304" pitchFamily="18" charset="0"/>
              <a:cs typeface="Times New Roman" panose="02020603050405020304" pitchFamily="18" charset="0"/>
            </a:rPr>
            <a:t>*</a:t>
          </a:r>
        </a:p>
      </cdr:txBody>
    </cdr:sp>
  </cdr:relSizeAnchor>
  <cdr:relSizeAnchor xmlns:cdr="http://schemas.openxmlformats.org/drawingml/2006/chartDrawing">
    <cdr:from>
      <cdr:x>0.16265</cdr:x>
      <cdr:y>0.66289</cdr:y>
    </cdr:from>
    <cdr:to>
      <cdr:x>0.19011</cdr:x>
      <cdr:y>0.70836</cdr:y>
    </cdr:to>
    <cdr:sp macro="" textlink="">
      <cdr:nvSpPr>
        <cdr:cNvPr id="8" name="TextBox 3">
          <a:extLst xmlns:a="http://schemas.openxmlformats.org/drawingml/2006/main">
            <a:ext uri="{FF2B5EF4-FFF2-40B4-BE49-F238E27FC236}">
              <a16:creationId xmlns:a16="http://schemas.microsoft.com/office/drawing/2014/main" id="{3357BA7E-3237-4917-A5C7-0EF14EDC7285}"/>
            </a:ext>
          </a:extLst>
        </cdr:cNvPr>
        <cdr:cNvSpPr txBox="1"/>
      </cdr:nvSpPr>
      <cdr:spPr>
        <a:xfrm xmlns:a="http://schemas.openxmlformats.org/drawingml/2006/main" rot="16200000">
          <a:off x="1144777" y="3603721"/>
          <a:ext cx="245523" cy="197324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GB" sz="1200">
              <a:latin typeface="Times New Roman" panose="02020603050405020304" pitchFamily="18" charset="0"/>
              <a:cs typeface="Times New Roman" panose="02020603050405020304" pitchFamily="18" charset="0"/>
            </a:rPr>
            <a:t>*</a:t>
          </a:r>
        </a:p>
      </cdr:txBody>
    </cdr:sp>
  </cdr:relSizeAnchor>
  <cdr:relSizeAnchor xmlns:cdr="http://schemas.openxmlformats.org/drawingml/2006/chartDrawing">
    <cdr:from>
      <cdr:x>0.18195</cdr:x>
      <cdr:y>0.66289</cdr:y>
    </cdr:from>
    <cdr:to>
      <cdr:x>0.20947</cdr:x>
      <cdr:y>0.70836</cdr:y>
    </cdr:to>
    <cdr:sp macro="" textlink="">
      <cdr:nvSpPr>
        <cdr:cNvPr id="9" name="TextBox 3">
          <a:extLst xmlns:a="http://schemas.openxmlformats.org/drawingml/2006/main">
            <a:ext uri="{FF2B5EF4-FFF2-40B4-BE49-F238E27FC236}">
              <a16:creationId xmlns:a16="http://schemas.microsoft.com/office/drawing/2014/main" id="{3357BA7E-3237-4917-A5C7-0EF14EDC7285}"/>
            </a:ext>
          </a:extLst>
        </cdr:cNvPr>
        <cdr:cNvSpPr txBox="1"/>
      </cdr:nvSpPr>
      <cdr:spPr>
        <a:xfrm xmlns:a="http://schemas.openxmlformats.org/drawingml/2006/main" rot="16200000">
          <a:off x="1283709" y="3603500"/>
          <a:ext cx="245523" cy="19776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GB" sz="1200">
              <a:latin typeface="Times New Roman" panose="02020603050405020304" pitchFamily="18" charset="0"/>
              <a:cs typeface="Times New Roman" panose="02020603050405020304" pitchFamily="18" charset="0"/>
            </a:rPr>
            <a:t>*</a:t>
          </a:r>
        </a:p>
      </cdr:txBody>
    </cdr:sp>
  </cdr:relSizeAnchor>
  <cdr:relSizeAnchor xmlns:cdr="http://schemas.openxmlformats.org/drawingml/2006/chartDrawing">
    <cdr:from>
      <cdr:x>0.20131</cdr:x>
      <cdr:y>0.66289</cdr:y>
    </cdr:from>
    <cdr:to>
      <cdr:x>0.22883</cdr:x>
      <cdr:y>0.70836</cdr:y>
    </cdr:to>
    <cdr:sp macro="" textlink="">
      <cdr:nvSpPr>
        <cdr:cNvPr id="10" name="TextBox 3">
          <a:extLst xmlns:a="http://schemas.openxmlformats.org/drawingml/2006/main">
            <a:ext uri="{FF2B5EF4-FFF2-40B4-BE49-F238E27FC236}">
              <a16:creationId xmlns:a16="http://schemas.microsoft.com/office/drawing/2014/main" id="{3357BA7E-3237-4917-A5C7-0EF14EDC7285}"/>
            </a:ext>
          </a:extLst>
        </cdr:cNvPr>
        <cdr:cNvSpPr txBox="1"/>
      </cdr:nvSpPr>
      <cdr:spPr>
        <a:xfrm xmlns:a="http://schemas.openxmlformats.org/drawingml/2006/main" rot="16200000">
          <a:off x="1422862" y="3603500"/>
          <a:ext cx="245523" cy="19776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GB" sz="1200">
              <a:latin typeface="Times New Roman" panose="02020603050405020304" pitchFamily="18" charset="0"/>
              <a:cs typeface="Times New Roman" panose="02020603050405020304" pitchFamily="18" charset="0"/>
            </a:rPr>
            <a:t>*</a:t>
          </a:r>
        </a:p>
      </cdr:txBody>
    </cdr:sp>
  </cdr:relSizeAnchor>
  <cdr:relSizeAnchor xmlns:cdr="http://schemas.openxmlformats.org/drawingml/2006/chartDrawing">
    <cdr:from>
      <cdr:x>0.22068</cdr:x>
      <cdr:y>0.66289</cdr:y>
    </cdr:from>
    <cdr:to>
      <cdr:x>0.2482</cdr:x>
      <cdr:y>0.70836</cdr:y>
    </cdr:to>
    <cdr:sp macro="" textlink="">
      <cdr:nvSpPr>
        <cdr:cNvPr id="11" name="TextBox 3">
          <a:extLst xmlns:a="http://schemas.openxmlformats.org/drawingml/2006/main">
            <a:ext uri="{FF2B5EF4-FFF2-40B4-BE49-F238E27FC236}">
              <a16:creationId xmlns:a16="http://schemas.microsoft.com/office/drawing/2014/main" id="{3357BA7E-3237-4917-A5C7-0EF14EDC7285}"/>
            </a:ext>
          </a:extLst>
        </cdr:cNvPr>
        <cdr:cNvSpPr txBox="1"/>
      </cdr:nvSpPr>
      <cdr:spPr>
        <a:xfrm xmlns:a="http://schemas.openxmlformats.org/drawingml/2006/main" rot="16200000">
          <a:off x="1562014" y="3603500"/>
          <a:ext cx="245523" cy="19776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GB" sz="1200">
              <a:latin typeface="Times New Roman" panose="02020603050405020304" pitchFamily="18" charset="0"/>
              <a:cs typeface="Times New Roman" panose="02020603050405020304" pitchFamily="18" charset="0"/>
            </a:rPr>
            <a:t>*</a:t>
          </a:r>
        </a:p>
      </cdr:txBody>
    </cdr:sp>
  </cdr:relSizeAnchor>
  <cdr:relSizeAnchor xmlns:cdr="http://schemas.openxmlformats.org/drawingml/2006/chartDrawing">
    <cdr:from>
      <cdr:x>0.24004</cdr:x>
      <cdr:y>0.66289</cdr:y>
    </cdr:from>
    <cdr:to>
      <cdr:x>0.26756</cdr:x>
      <cdr:y>0.70836</cdr:y>
    </cdr:to>
    <cdr:sp macro="" textlink="">
      <cdr:nvSpPr>
        <cdr:cNvPr id="12" name="TextBox 3">
          <a:extLst xmlns:a="http://schemas.openxmlformats.org/drawingml/2006/main">
            <a:ext uri="{FF2B5EF4-FFF2-40B4-BE49-F238E27FC236}">
              <a16:creationId xmlns:a16="http://schemas.microsoft.com/office/drawing/2014/main" id="{3357BA7E-3237-4917-A5C7-0EF14EDC7285}"/>
            </a:ext>
          </a:extLst>
        </cdr:cNvPr>
        <cdr:cNvSpPr txBox="1"/>
      </cdr:nvSpPr>
      <cdr:spPr>
        <a:xfrm xmlns:a="http://schemas.openxmlformats.org/drawingml/2006/main" rot="16200000">
          <a:off x="1701166" y="3603500"/>
          <a:ext cx="245523" cy="19776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GB" sz="1200">
              <a:latin typeface="Times New Roman" panose="02020603050405020304" pitchFamily="18" charset="0"/>
              <a:cs typeface="Times New Roman" panose="02020603050405020304" pitchFamily="18" charset="0"/>
            </a:rPr>
            <a:t>*</a:t>
          </a:r>
        </a:p>
      </cdr:txBody>
    </cdr:sp>
  </cdr:relSizeAnchor>
  <cdr:relSizeAnchor xmlns:cdr="http://schemas.openxmlformats.org/drawingml/2006/chartDrawing">
    <cdr:from>
      <cdr:x>0.2594</cdr:x>
      <cdr:y>0.66289</cdr:y>
    </cdr:from>
    <cdr:to>
      <cdr:x>0.28692</cdr:x>
      <cdr:y>0.70836</cdr:y>
    </cdr:to>
    <cdr:sp macro="" textlink="">
      <cdr:nvSpPr>
        <cdr:cNvPr id="13" name="TextBox 3">
          <a:extLst xmlns:a="http://schemas.openxmlformats.org/drawingml/2006/main">
            <a:ext uri="{FF2B5EF4-FFF2-40B4-BE49-F238E27FC236}">
              <a16:creationId xmlns:a16="http://schemas.microsoft.com/office/drawing/2014/main" id="{3357BA7E-3237-4917-A5C7-0EF14EDC7285}"/>
            </a:ext>
          </a:extLst>
        </cdr:cNvPr>
        <cdr:cNvSpPr txBox="1"/>
      </cdr:nvSpPr>
      <cdr:spPr>
        <a:xfrm xmlns:a="http://schemas.openxmlformats.org/drawingml/2006/main" rot="16200000">
          <a:off x="1840319" y="3603500"/>
          <a:ext cx="245523" cy="19776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GB" sz="1200">
              <a:latin typeface="Times New Roman" panose="02020603050405020304" pitchFamily="18" charset="0"/>
              <a:cs typeface="Times New Roman" panose="02020603050405020304" pitchFamily="18" charset="0"/>
            </a:rPr>
            <a:t>*</a:t>
          </a:r>
        </a:p>
      </cdr:txBody>
    </cdr:sp>
  </cdr:relSizeAnchor>
  <cdr:relSizeAnchor xmlns:cdr="http://schemas.openxmlformats.org/drawingml/2006/chartDrawing">
    <cdr:from>
      <cdr:x>0.27877</cdr:x>
      <cdr:y>0.66289</cdr:y>
    </cdr:from>
    <cdr:to>
      <cdr:x>0.30629</cdr:x>
      <cdr:y>0.70836</cdr:y>
    </cdr:to>
    <cdr:sp macro="" textlink="">
      <cdr:nvSpPr>
        <cdr:cNvPr id="15" name="TextBox 3">
          <a:extLst xmlns:a="http://schemas.openxmlformats.org/drawingml/2006/main">
            <a:ext uri="{FF2B5EF4-FFF2-40B4-BE49-F238E27FC236}">
              <a16:creationId xmlns:a16="http://schemas.microsoft.com/office/drawing/2014/main" id="{BE64FF50-5FFA-4DAF-8675-491AAEBF2CE5}"/>
            </a:ext>
          </a:extLst>
        </cdr:cNvPr>
        <cdr:cNvSpPr txBox="1"/>
      </cdr:nvSpPr>
      <cdr:spPr>
        <a:xfrm xmlns:a="http://schemas.openxmlformats.org/drawingml/2006/main" rot="16200000">
          <a:off x="1979474" y="3603500"/>
          <a:ext cx="245523" cy="19776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GB" sz="1200">
              <a:latin typeface="Times New Roman" panose="02020603050405020304" pitchFamily="18" charset="0"/>
              <a:cs typeface="Times New Roman" panose="02020603050405020304" pitchFamily="18" charset="0"/>
            </a:rPr>
            <a:t>*</a:t>
          </a:r>
        </a:p>
      </cdr:txBody>
    </cdr:sp>
  </cdr:relSizeAnchor>
  <cdr:relSizeAnchor xmlns:cdr="http://schemas.openxmlformats.org/drawingml/2006/chartDrawing">
    <cdr:from>
      <cdr:x>0.33577</cdr:x>
      <cdr:y>0.66408</cdr:y>
    </cdr:from>
    <cdr:to>
      <cdr:x>0.36329</cdr:x>
      <cdr:y>0.70955</cdr:y>
    </cdr:to>
    <cdr:sp macro="" textlink="">
      <cdr:nvSpPr>
        <cdr:cNvPr id="16" name="TextBox 3">
          <a:extLst xmlns:a="http://schemas.openxmlformats.org/drawingml/2006/main">
            <a:ext uri="{FF2B5EF4-FFF2-40B4-BE49-F238E27FC236}">
              <a16:creationId xmlns:a16="http://schemas.microsoft.com/office/drawing/2014/main" id="{3357BA7E-3237-4917-A5C7-0EF14EDC7285}"/>
            </a:ext>
          </a:extLst>
        </cdr:cNvPr>
        <cdr:cNvSpPr txBox="1"/>
      </cdr:nvSpPr>
      <cdr:spPr>
        <a:xfrm xmlns:a="http://schemas.openxmlformats.org/drawingml/2006/main" rot="16200000">
          <a:off x="2391233" y="3609836"/>
          <a:ext cx="245523" cy="197932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GB" sz="1200">
              <a:latin typeface="Times New Roman" panose="02020603050405020304" pitchFamily="18" charset="0"/>
              <a:cs typeface="Times New Roman" panose="02020603050405020304" pitchFamily="18" charset="0"/>
            </a:rPr>
            <a:t>*</a:t>
          </a:r>
        </a:p>
      </cdr:txBody>
    </cdr:sp>
  </cdr:relSizeAnchor>
  <cdr:relSizeAnchor xmlns:cdr="http://schemas.openxmlformats.org/drawingml/2006/chartDrawing">
    <cdr:from>
      <cdr:x>0.37526</cdr:x>
      <cdr:y>0.66408</cdr:y>
    </cdr:from>
    <cdr:to>
      <cdr:x>0.40278</cdr:x>
      <cdr:y>0.70955</cdr:y>
    </cdr:to>
    <cdr:sp macro="" textlink="">
      <cdr:nvSpPr>
        <cdr:cNvPr id="17" name="TextBox 3">
          <a:extLst xmlns:a="http://schemas.openxmlformats.org/drawingml/2006/main">
            <a:ext uri="{FF2B5EF4-FFF2-40B4-BE49-F238E27FC236}">
              <a16:creationId xmlns:a16="http://schemas.microsoft.com/office/drawing/2014/main" id="{3357BA7E-3237-4917-A5C7-0EF14EDC7285}"/>
            </a:ext>
          </a:extLst>
        </cdr:cNvPr>
        <cdr:cNvSpPr txBox="1"/>
      </cdr:nvSpPr>
      <cdr:spPr>
        <a:xfrm xmlns:a="http://schemas.openxmlformats.org/drawingml/2006/main" rot="16200000">
          <a:off x="2675264" y="3609836"/>
          <a:ext cx="245523" cy="19793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GB" sz="1200">
              <a:latin typeface="Times New Roman" panose="02020603050405020304" pitchFamily="18" charset="0"/>
              <a:cs typeface="Times New Roman" panose="02020603050405020304" pitchFamily="18" charset="0"/>
            </a:rPr>
            <a:t>*</a:t>
          </a:r>
        </a:p>
      </cdr:txBody>
    </cdr:sp>
  </cdr:relSizeAnchor>
  <cdr:relSizeAnchor xmlns:cdr="http://schemas.openxmlformats.org/drawingml/2006/chartDrawing">
    <cdr:from>
      <cdr:x>0.35279</cdr:x>
      <cdr:y>0.62114</cdr:y>
    </cdr:from>
    <cdr:to>
      <cdr:x>0.38031</cdr:x>
      <cdr:y>0.72089</cdr:y>
    </cdr:to>
    <cdr:sp macro="" textlink="">
      <cdr:nvSpPr>
        <cdr:cNvPr id="19" name="TextBox 3">
          <a:extLst xmlns:a="http://schemas.openxmlformats.org/drawingml/2006/main">
            <a:ext uri="{FF2B5EF4-FFF2-40B4-BE49-F238E27FC236}">
              <a16:creationId xmlns:a16="http://schemas.microsoft.com/office/drawing/2014/main" id="{14F9EAB3-94DC-402A-9D78-632165D4CAC0}"/>
            </a:ext>
          </a:extLst>
        </cdr:cNvPr>
        <cdr:cNvSpPr txBox="1"/>
      </cdr:nvSpPr>
      <cdr:spPr>
        <a:xfrm xmlns:a="http://schemas.openxmlformats.org/drawingml/2006/main" rot="16200000">
          <a:off x="2367092" y="3524511"/>
          <a:ext cx="538635" cy="19793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vert="wordArtVert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GB" sz="1200">
              <a:latin typeface="Times New Roman" panose="02020603050405020304" pitchFamily="18" charset="0"/>
              <a:cs typeface="Times New Roman" panose="02020603050405020304" pitchFamily="18" charset="0"/>
            </a:rPr>
            <a:t>*</a:t>
          </a:r>
        </a:p>
      </cdr:txBody>
    </cdr:sp>
  </cdr:relSizeAnchor>
  <cdr:relSizeAnchor xmlns:cdr="http://schemas.openxmlformats.org/drawingml/2006/chartDrawing">
    <cdr:from>
      <cdr:x>0.35564</cdr:x>
      <cdr:y>0.64567</cdr:y>
    </cdr:from>
    <cdr:to>
      <cdr:x>0.38316</cdr:x>
      <cdr:y>0.69113</cdr:y>
    </cdr:to>
    <cdr:sp macro="" textlink="">
      <cdr:nvSpPr>
        <cdr:cNvPr id="20" name="TextBox 3">
          <a:extLst xmlns:a="http://schemas.openxmlformats.org/drawingml/2006/main">
            <a:ext uri="{FF2B5EF4-FFF2-40B4-BE49-F238E27FC236}">
              <a16:creationId xmlns:a16="http://schemas.microsoft.com/office/drawing/2014/main" id="{F5FF08FE-4273-4A4E-8FBA-DE439C5BD2A7}"/>
            </a:ext>
          </a:extLst>
        </cdr:cNvPr>
        <cdr:cNvSpPr txBox="1"/>
      </cdr:nvSpPr>
      <cdr:spPr>
        <a:xfrm xmlns:a="http://schemas.openxmlformats.org/drawingml/2006/main" rot="16200000">
          <a:off x="2534123" y="3510399"/>
          <a:ext cx="245523" cy="197932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GB" sz="1200">
              <a:latin typeface="Times New Roman" panose="02020603050405020304" pitchFamily="18" charset="0"/>
              <a:cs typeface="Times New Roman" panose="02020603050405020304" pitchFamily="18" charset="0"/>
            </a:rPr>
            <a:t>*</a:t>
          </a:r>
        </a:p>
      </cdr:txBody>
    </cdr:sp>
  </cdr:relSizeAnchor>
  <cdr:relSizeAnchor xmlns:cdr="http://schemas.openxmlformats.org/drawingml/2006/chartDrawing">
    <cdr:from>
      <cdr:x>0.4705</cdr:x>
      <cdr:y>0.66257</cdr:y>
    </cdr:from>
    <cdr:to>
      <cdr:x>0.49802</cdr:x>
      <cdr:y>0.70804</cdr:y>
    </cdr:to>
    <cdr:sp macro="" textlink="">
      <cdr:nvSpPr>
        <cdr:cNvPr id="21" name="TextBox 3">
          <a:extLst xmlns:a="http://schemas.openxmlformats.org/drawingml/2006/main">
            <a:ext uri="{FF2B5EF4-FFF2-40B4-BE49-F238E27FC236}">
              <a16:creationId xmlns:a16="http://schemas.microsoft.com/office/drawing/2014/main" id="{9FD0E6C5-FA6A-4164-8441-546191682574}"/>
            </a:ext>
          </a:extLst>
        </cdr:cNvPr>
        <cdr:cNvSpPr txBox="1"/>
      </cdr:nvSpPr>
      <cdr:spPr>
        <a:xfrm xmlns:a="http://schemas.openxmlformats.org/drawingml/2006/main" rot="16200000">
          <a:off x="3395464" y="2861257"/>
          <a:ext cx="196418" cy="19853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GB" sz="1200">
              <a:latin typeface="Times New Roman" panose="02020603050405020304" pitchFamily="18" charset="0"/>
              <a:cs typeface="Times New Roman" panose="02020603050405020304" pitchFamily="18" charset="0"/>
            </a:rPr>
            <a:t>*</a:t>
          </a:r>
        </a:p>
      </cdr:txBody>
    </cdr:sp>
  </cdr:relSizeAnchor>
</c:userShapes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201705</xdr:colOff>
      <xdr:row>24</xdr:row>
      <xdr:rowOff>11206</xdr:rowOff>
    </xdr:from>
    <xdr:to>
      <xdr:col>12</xdr:col>
      <xdr:colOff>896469</xdr:colOff>
      <xdr:row>32</xdr:row>
      <xdr:rowOff>78442</xdr:rowOff>
    </xdr:to>
    <xdr:sp macro="[0]!AHD" textlink="">
      <xdr:nvSpPr>
        <xdr:cNvPr id="9" name="Rounded Rectangle 1">
          <a:extLst>
            <a:ext uri="{FF2B5EF4-FFF2-40B4-BE49-F238E27FC236}">
              <a16:creationId xmlns:a16="http://schemas.microsoft.com/office/drawing/2014/main" id="{03660D39-D1EC-4CD4-AD39-90F4C94A4624}"/>
            </a:ext>
          </a:extLst>
        </xdr:cNvPr>
        <xdr:cNvSpPr/>
      </xdr:nvSpPr>
      <xdr:spPr>
        <a:xfrm>
          <a:off x="8852646" y="4784912"/>
          <a:ext cx="2935941" cy="1591236"/>
        </a:xfrm>
        <a:prstGeom prst="roundRect">
          <a:avLst>
            <a:gd name="adj" fmla="val 8866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2000" b="1"/>
            <a:t>Calculate sizes</a:t>
          </a:r>
        </a:p>
      </xdr:txBody>
    </xdr:sp>
    <xdr:clientData/>
  </xdr:twoCellAnchor>
  <xdr:twoCellAnchor>
    <xdr:from>
      <xdr:col>12</xdr:col>
      <xdr:colOff>941294</xdr:colOff>
      <xdr:row>3</xdr:row>
      <xdr:rowOff>124383</xdr:rowOff>
    </xdr:from>
    <xdr:to>
      <xdr:col>24</xdr:col>
      <xdr:colOff>73058</xdr:colOff>
      <xdr:row>21</xdr:row>
      <xdr:rowOff>160912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E99AB2A-26FF-474A-9087-737C9E938B6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179294</xdr:colOff>
      <xdr:row>19</xdr:row>
      <xdr:rowOff>156881</xdr:rowOff>
    </xdr:from>
    <xdr:to>
      <xdr:col>12</xdr:col>
      <xdr:colOff>638735</xdr:colOff>
      <xdr:row>27</xdr:row>
      <xdr:rowOff>0</xdr:rowOff>
    </xdr:to>
    <xdr:sp macro="[0]!Density" textlink="">
      <xdr:nvSpPr>
        <xdr:cNvPr id="7" name="Rounded Rectangle 1">
          <a:extLst>
            <a:ext uri="{FF2B5EF4-FFF2-40B4-BE49-F238E27FC236}">
              <a16:creationId xmlns:a16="http://schemas.microsoft.com/office/drawing/2014/main" id="{1B96F1B0-128F-46AD-B8C2-A977BC90D600}"/>
            </a:ext>
          </a:extLst>
        </xdr:cNvPr>
        <xdr:cNvSpPr/>
      </xdr:nvSpPr>
      <xdr:spPr>
        <a:xfrm>
          <a:off x="8830235" y="4728881"/>
          <a:ext cx="2935941" cy="1591236"/>
        </a:xfrm>
        <a:prstGeom prst="roundRect">
          <a:avLst>
            <a:gd name="adj" fmla="val 8866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2000" b="1"/>
            <a:t>Calculate sizes</a:t>
          </a:r>
        </a:p>
      </xdr:txBody>
    </xdr:sp>
    <xdr:clientData/>
  </xdr:twoCellAnchor>
  <xdr:twoCellAnchor>
    <xdr:from>
      <xdr:col>9</xdr:col>
      <xdr:colOff>851645</xdr:colOff>
      <xdr:row>28</xdr:row>
      <xdr:rowOff>90766</xdr:rowOff>
    </xdr:from>
    <xdr:to>
      <xdr:col>18</xdr:col>
      <xdr:colOff>229940</xdr:colOff>
      <xdr:row>46</xdr:row>
      <xdr:rowOff>60060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CE3D439A-70A6-43D8-B769-F53F3963732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493058</xdr:colOff>
      <xdr:row>24</xdr:row>
      <xdr:rowOff>134471</xdr:rowOff>
    </xdr:from>
    <xdr:to>
      <xdr:col>13</xdr:col>
      <xdr:colOff>302558</xdr:colOff>
      <xdr:row>32</xdr:row>
      <xdr:rowOff>44824</xdr:rowOff>
    </xdr:to>
    <xdr:sp macro="[0]!Connections" textlink="">
      <xdr:nvSpPr>
        <xdr:cNvPr id="4" name="Rounded Rectangle 1">
          <a:extLst>
            <a:ext uri="{FF2B5EF4-FFF2-40B4-BE49-F238E27FC236}">
              <a16:creationId xmlns:a16="http://schemas.microsoft.com/office/drawing/2014/main" id="{EE748D72-E141-4C1C-A4A6-AB5E2B5E5859}"/>
            </a:ext>
          </a:extLst>
        </xdr:cNvPr>
        <xdr:cNvSpPr/>
      </xdr:nvSpPr>
      <xdr:spPr>
        <a:xfrm>
          <a:off x="7250205" y="5042647"/>
          <a:ext cx="2991971" cy="1434353"/>
        </a:xfrm>
        <a:prstGeom prst="roundRect">
          <a:avLst>
            <a:gd name="adj" fmla="val 8866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2000" b="1"/>
            <a:t>Calculate sizes</a:t>
          </a:r>
        </a:p>
      </xdr:txBody>
    </xdr:sp>
    <xdr:clientData/>
  </xdr:twoCellAnchor>
  <xdr:twoCellAnchor>
    <xdr:from>
      <xdr:col>15</xdr:col>
      <xdr:colOff>252132</xdr:colOff>
      <xdr:row>3</xdr:row>
      <xdr:rowOff>145677</xdr:rowOff>
    </xdr:from>
    <xdr:to>
      <xdr:col>27</xdr:col>
      <xdr:colOff>190720</xdr:colOff>
      <xdr:row>22</xdr:row>
      <xdr:rowOff>58942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39A5DD32-E9D2-48FF-9D23-E833003DE7E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246530</xdr:colOff>
      <xdr:row>19</xdr:row>
      <xdr:rowOff>123265</xdr:rowOff>
    </xdr:from>
    <xdr:to>
      <xdr:col>12</xdr:col>
      <xdr:colOff>997324</xdr:colOff>
      <xdr:row>27</xdr:row>
      <xdr:rowOff>33618</xdr:rowOff>
    </xdr:to>
    <xdr:sp macro="[0]!properties" textlink="">
      <xdr:nvSpPr>
        <xdr:cNvPr id="8" name="Rounded Rectangle 1">
          <a:extLst>
            <a:ext uri="{FF2B5EF4-FFF2-40B4-BE49-F238E27FC236}">
              <a16:creationId xmlns:a16="http://schemas.microsoft.com/office/drawing/2014/main" id="{4089AEB4-335E-47B8-938B-84C0D72504BB}"/>
            </a:ext>
          </a:extLst>
        </xdr:cNvPr>
        <xdr:cNvSpPr/>
      </xdr:nvSpPr>
      <xdr:spPr>
        <a:xfrm>
          <a:off x="8897471" y="3978089"/>
          <a:ext cx="2991971" cy="1434353"/>
        </a:xfrm>
        <a:prstGeom prst="roundRect">
          <a:avLst>
            <a:gd name="adj" fmla="val 8866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2000" b="1"/>
            <a:t>Calculate sizes</a:t>
          </a:r>
        </a:p>
      </xdr:txBody>
    </xdr:sp>
    <xdr:clientData/>
  </xdr:twoCellAnchor>
  <xdr:twoCellAnchor>
    <xdr:from>
      <xdr:col>12</xdr:col>
      <xdr:colOff>1339100</xdr:colOff>
      <xdr:row>3</xdr:row>
      <xdr:rowOff>100854</xdr:rowOff>
    </xdr:from>
    <xdr:to>
      <xdr:col>24</xdr:col>
      <xdr:colOff>470864</xdr:colOff>
      <xdr:row>21</xdr:row>
      <xdr:rowOff>137383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33DE40C-1314-41AC-A735-FAA5B50C7AC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843644</xdr:colOff>
      <xdr:row>16</xdr:row>
      <xdr:rowOff>54426</xdr:rowOff>
    </xdr:from>
    <xdr:to>
      <xdr:col>10</xdr:col>
      <xdr:colOff>668573</xdr:colOff>
      <xdr:row>35</xdr:row>
      <xdr:rowOff>34926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B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17</xdr:row>
      <xdr:rowOff>0</xdr:rowOff>
    </xdr:from>
    <xdr:to>
      <xdr:col>1</xdr:col>
      <xdr:colOff>78441</xdr:colOff>
      <xdr:row>25</xdr:row>
      <xdr:rowOff>67236</xdr:rowOff>
    </xdr:to>
    <xdr:sp macro="[0]!Consumer_Class" textlink="">
      <xdr:nvSpPr>
        <xdr:cNvPr id="3" name="Rounded Rectangle 1">
          <a:extLst>
            <a:ext uri="{FF2B5EF4-FFF2-40B4-BE49-F238E27FC236}">
              <a16:creationId xmlns:a16="http://schemas.microsoft.com/office/drawing/2014/main" id="{9FF3A3E4-6A0B-4985-883B-4F67460AB269}"/>
            </a:ext>
          </a:extLst>
        </xdr:cNvPr>
        <xdr:cNvSpPr/>
      </xdr:nvSpPr>
      <xdr:spPr>
        <a:xfrm>
          <a:off x="0" y="3347357"/>
          <a:ext cx="2935941" cy="1591236"/>
        </a:xfrm>
        <a:prstGeom prst="roundRect">
          <a:avLst>
            <a:gd name="adj" fmla="val 8866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2000" b="1"/>
            <a:t>Calculate sizes</a:t>
          </a: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1352550</xdr:colOff>
      <xdr:row>14</xdr:row>
      <xdr:rowOff>119062</xdr:rowOff>
    </xdr:from>
    <xdr:to>
      <xdr:col>5</xdr:col>
      <xdr:colOff>1370700</xdr:colOff>
      <xdr:row>33</xdr:row>
      <xdr:rowOff>99562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B12036A9-F3DA-4D4F-BF6E-7A7A737DE0B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1322060/Win7/Desktop/Copy%20of%20Orestis%20Model%200A%20-%20Thesis%20model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eat Demand Input Data"/>
      <sheetName val="Demand Profiles"/>
      <sheetName val="Heat Demand Summary"/>
      <sheetName val="Peak Demand"/>
      <sheetName val="DWH Diversification Factor"/>
      <sheetName val="Ramboll Technical"/>
      <sheetName val="Ramboll Past Projects"/>
      <sheetName val="Degree Days"/>
      <sheetName val="Pipe Sizing"/>
      <sheetName val="Emissions"/>
      <sheetName val="Network Costs"/>
      <sheetName val="Technology Costs"/>
      <sheetName val="DH Costs"/>
      <sheetName val="Output"/>
      <sheetName val="Break off point vs density"/>
    </sheetNames>
    <sheetDataSet>
      <sheetData sheetId="0" refreshError="1"/>
      <sheetData sheetId="1" refreshError="1"/>
      <sheetData sheetId="2">
        <row r="4">
          <cell r="B4" t="str">
            <v>Residential</v>
          </cell>
        </row>
        <row r="5">
          <cell r="B5" t="str">
            <v>Office</v>
          </cell>
        </row>
        <row r="6">
          <cell r="B6" t="str">
            <v>Retail</v>
          </cell>
        </row>
        <row r="7">
          <cell r="B7" t="str">
            <v>Restaurant/pub/bar</v>
          </cell>
        </row>
        <row r="8">
          <cell r="B8" t="str">
            <v>Education</v>
          </cell>
        </row>
        <row r="9">
          <cell r="B9" t="str">
            <v>Public/Community</v>
          </cell>
        </row>
        <row r="10">
          <cell r="B10" t="str">
            <v>Hotel</v>
          </cell>
        </row>
      </sheetData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Orestis Angelidis (PGR)" id="{3BE74883-F9BC-4B5B-98DE-9911B355CF0F}" userId="Orestis Angelidis (PGR)" providerId="None"/>
</personLis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85296"/>
      </a:hlink>
      <a:folHlink>
        <a:srgbClr val="993366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S10" dT="2022-12-08T17:40:08.58" personId="{3BE74883-F9BC-4B5B-98DE-9911B355CF0F}" id="{BD22CE70-C2F1-43B4-AB17-3ED056F8F994}">
    <text>906 BEP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E6" dT="2022-12-09T09:28:34.51" personId="{3BE74883-F9BC-4B5B-98DE-9911B355CF0F}" id="{55F9FDA3-8ADD-405C-A61F-7D82896A64BC}">
    <text>906</text>
  </threadedComment>
  <threadedComment ref="F15" dT="2022-12-09T09:28:34.51" personId="{3BE74883-F9BC-4B5B-98DE-9911B355CF0F}" id="{6D3F7934-3A7D-4F08-AF17-A6954DDBF15A}">
    <text>486</text>
  </threadedComment>
</ThreadedComments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5.bin"/><Relationship Id="rId5" Type="http://schemas.microsoft.com/office/2017/10/relationships/threadedComment" Target="../threadedComments/threadedComment1.xml"/><Relationship Id="rId4" Type="http://schemas.openxmlformats.org/officeDocument/2006/relationships/comments" Target="../comments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7.bin"/><Relationship Id="rId5" Type="http://schemas.microsoft.com/office/2017/10/relationships/threadedComment" Target="../threadedComments/threadedComment2.xml"/><Relationship Id="rId4" Type="http://schemas.openxmlformats.org/officeDocument/2006/relationships/comments" Target="../comments2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C169AF-1499-4AC5-B46C-A9646EF83E02}">
  <sheetPr codeName="Sheet19">
    <tabColor theme="6" tint="-0.499984740745262"/>
  </sheetPr>
  <dimension ref="A1:AF354"/>
  <sheetViews>
    <sheetView zoomScale="70" zoomScaleNormal="70" workbookViewId="0">
      <selection activeCell="N45" sqref="N45"/>
    </sheetView>
  </sheetViews>
  <sheetFormatPr defaultColWidth="9.140625" defaultRowHeight="15" x14ac:dyDescent="0.25"/>
  <cols>
    <col min="1" max="1" width="3.28515625" style="10" customWidth="1"/>
    <col min="2" max="2" width="12.85546875" style="10" customWidth="1"/>
    <col min="3" max="3" width="2.85546875" style="10" customWidth="1"/>
    <col min="4" max="8" width="18.5703125" style="10" customWidth="1"/>
    <col min="9" max="9" width="4.42578125" style="10" customWidth="1"/>
    <col min="10" max="14" width="18.5703125" style="10" customWidth="1"/>
    <col min="15" max="15" width="4.140625" style="10" customWidth="1"/>
    <col min="16" max="16" width="20.140625" style="10" customWidth="1"/>
    <col min="17" max="17" width="33.7109375" style="10" customWidth="1"/>
    <col min="18" max="18" width="17.85546875" style="10" bestFit="1" customWidth="1"/>
    <col min="19" max="21" width="20.140625" style="10" bestFit="1" customWidth="1"/>
    <col min="22" max="29" width="21.7109375" style="10" bestFit="1" customWidth="1"/>
    <col min="30" max="16384" width="9.140625" style="10"/>
  </cols>
  <sheetData>
    <row r="1" spans="1:29" x14ac:dyDescent="0.25">
      <c r="A1"/>
      <c r="B1"/>
      <c r="C1"/>
      <c r="D1"/>
      <c r="E1"/>
      <c r="F1"/>
    </row>
    <row r="2" spans="1:29" x14ac:dyDescent="0.25">
      <c r="A2"/>
      <c r="B2"/>
      <c r="C2"/>
      <c r="D2"/>
      <c r="E2"/>
      <c r="F2"/>
    </row>
    <row r="3" spans="1:29" x14ac:dyDescent="0.25">
      <c r="A3"/>
      <c r="B3"/>
      <c r="C3"/>
      <c r="D3"/>
      <c r="E3"/>
      <c r="F3"/>
    </row>
    <row r="4" spans="1:29" ht="15.75" thickBot="1" x14ac:dyDescent="0.3">
      <c r="A4"/>
      <c r="B4"/>
      <c r="C4"/>
      <c r="D4"/>
      <c r="E4"/>
      <c r="F4"/>
    </row>
    <row r="5" spans="1:29" ht="30.75" customHeight="1" thickBot="1" x14ac:dyDescent="0.3">
      <c r="B5" s="3" t="s">
        <v>41</v>
      </c>
      <c r="D5" s="3" t="s">
        <v>44</v>
      </c>
      <c r="E5" s="4"/>
      <c r="F5" s="4"/>
      <c r="G5" s="4"/>
      <c r="H5" s="4"/>
      <c r="J5" s="3" t="s">
        <v>45</v>
      </c>
      <c r="K5" s="4"/>
      <c r="L5" s="4"/>
      <c r="M5" s="4"/>
      <c r="N5" s="4"/>
      <c r="P5" s="3" t="s">
        <v>41</v>
      </c>
      <c r="Q5" s="3" t="s">
        <v>41</v>
      </c>
      <c r="R5" s="44" t="s">
        <v>36</v>
      </c>
      <c r="S5" s="45"/>
      <c r="T5" s="45"/>
      <c r="U5" s="45"/>
      <c r="V5" s="45"/>
      <c r="W5" s="45"/>
      <c r="X5" s="45"/>
      <c r="Y5" s="45"/>
      <c r="Z5" s="45"/>
      <c r="AA5" s="45"/>
      <c r="AB5" s="45"/>
      <c r="AC5" s="45"/>
    </row>
    <row r="6" spans="1:29" ht="45.75" thickBot="1" x14ac:dyDescent="0.3">
      <c r="B6" s="1" t="s">
        <v>4</v>
      </c>
      <c r="D6" s="1" t="s">
        <v>31</v>
      </c>
      <c r="E6" s="1" t="s">
        <v>32</v>
      </c>
      <c r="F6" s="1" t="s">
        <v>33</v>
      </c>
      <c r="G6" s="1" t="s">
        <v>34</v>
      </c>
      <c r="H6" s="1" t="s">
        <v>0</v>
      </c>
      <c r="J6" s="1" t="s">
        <v>31</v>
      </c>
      <c r="K6" s="1" t="s">
        <v>32</v>
      </c>
      <c r="L6" s="1" t="s">
        <v>33</v>
      </c>
      <c r="M6" s="1" t="s">
        <v>34</v>
      </c>
      <c r="N6" s="1" t="s">
        <v>0</v>
      </c>
      <c r="P6" s="1" t="s">
        <v>40</v>
      </c>
      <c r="Q6" s="1" t="s">
        <v>35</v>
      </c>
      <c r="R6" s="38">
        <v>1</v>
      </c>
      <c r="S6" s="38">
        <v>3</v>
      </c>
      <c r="T6" s="38">
        <v>5</v>
      </c>
      <c r="U6" s="38">
        <v>8</v>
      </c>
      <c r="V6" s="38">
        <v>10</v>
      </c>
      <c r="W6" s="38">
        <v>13</v>
      </c>
      <c r="X6" s="38">
        <v>16</v>
      </c>
      <c r="Y6" s="38">
        <v>20</v>
      </c>
      <c r="Z6" s="38">
        <v>25</v>
      </c>
      <c r="AA6" s="38">
        <v>30</v>
      </c>
      <c r="AB6" s="38">
        <v>35</v>
      </c>
      <c r="AC6" s="38">
        <v>40</v>
      </c>
    </row>
    <row r="7" spans="1:29" x14ac:dyDescent="0.25">
      <c r="B7" s="17"/>
      <c r="D7" s="18" t="s">
        <v>1</v>
      </c>
      <c r="E7" s="18" t="s">
        <v>1</v>
      </c>
      <c r="F7" s="18" t="s">
        <v>2</v>
      </c>
      <c r="G7" s="18" t="s">
        <v>2</v>
      </c>
      <c r="H7" s="18" t="s">
        <v>3</v>
      </c>
      <c r="J7" s="18" t="s">
        <v>1</v>
      </c>
      <c r="K7" s="18" t="s">
        <v>1</v>
      </c>
      <c r="L7" s="18" t="s">
        <v>2</v>
      </c>
      <c r="M7" s="18" t="s">
        <v>2</v>
      </c>
      <c r="N7" s="18" t="s">
        <v>3</v>
      </c>
      <c r="P7" s="42">
        <v>1</v>
      </c>
      <c r="Q7" s="39">
        <v>75</v>
      </c>
      <c r="R7" s="39"/>
      <c r="S7" s="39"/>
      <c r="T7" s="39"/>
      <c r="U7" s="39"/>
      <c r="V7" s="39"/>
      <c r="W7" s="39"/>
      <c r="X7" s="39"/>
      <c r="Y7" s="39"/>
      <c r="Z7" s="39"/>
      <c r="AA7" s="39"/>
      <c r="AB7" s="39"/>
      <c r="AC7" s="39"/>
    </row>
    <row r="8" spans="1:29" x14ac:dyDescent="0.25">
      <c r="B8" s="37">
        <v>4</v>
      </c>
      <c r="C8" s="24"/>
      <c r="D8" s="9">
        <v>2.914709217808007</v>
      </c>
      <c r="E8" s="9">
        <v>3.2233152459785779</v>
      </c>
      <c r="F8" s="9">
        <v>185.44553158315932</v>
      </c>
      <c r="G8" s="9">
        <v>205.080289175513</v>
      </c>
      <c r="H8" s="9">
        <v>1467.8506022660195</v>
      </c>
      <c r="I8" s="24"/>
      <c r="J8" s="9">
        <v>2.686976579014476</v>
      </c>
      <c r="K8" s="9">
        <v>2.8578546051187956</v>
      </c>
      <c r="L8" s="22">
        <v>170.95626452287181</v>
      </c>
      <c r="M8" s="22">
        <v>181.8282122949476</v>
      </c>
      <c r="N8" s="22">
        <v>612.91413316992509</v>
      </c>
      <c r="O8" s="21"/>
      <c r="P8" s="42">
        <v>2</v>
      </c>
      <c r="Q8" s="39">
        <v>50</v>
      </c>
      <c r="R8" s="39"/>
      <c r="S8" s="39"/>
      <c r="T8" s="39"/>
      <c r="U8" s="39"/>
      <c r="V8" s="39"/>
      <c r="W8" s="39"/>
      <c r="X8" s="39"/>
      <c r="Y8" s="39"/>
      <c r="Z8" s="39"/>
      <c r="AA8" s="39"/>
      <c r="AB8" s="39"/>
      <c r="AC8" s="39"/>
    </row>
    <row r="9" spans="1:29" x14ac:dyDescent="0.25">
      <c r="B9" s="37">
        <v>5</v>
      </c>
      <c r="C9" s="24"/>
      <c r="D9" s="9">
        <v>3.4199208779938783</v>
      </c>
      <c r="E9" s="9">
        <v>3.8056767035104966</v>
      </c>
      <c r="F9" s="9">
        <v>174.07130462746431</v>
      </c>
      <c r="G9" s="9">
        <v>193.70597519759508</v>
      </c>
      <c r="H9" s="9">
        <v>1834.805120848861</v>
      </c>
      <c r="I9" s="24"/>
      <c r="J9" s="9">
        <v>3.3613873970641746</v>
      </c>
      <c r="K9" s="9">
        <v>3.5749864076627338</v>
      </c>
      <c r="L9" s="22">
        <v>171.09199611322839</v>
      </c>
      <c r="M9" s="22">
        <v>181.96401911273045</v>
      </c>
      <c r="N9" s="22">
        <v>766.14794718636028</v>
      </c>
      <c r="O9" s="21"/>
      <c r="P9" s="42">
        <v>3</v>
      </c>
      <c r="Q9" s="39">
        <v>35</v>
      </c>
      <c r="R9" s="39"/>
      <c r="S9" s="39"/>
      <c r="T9" s="39"/>
      <c r="U9" s="39"/>
      <c r="V9" s="39"/>
      <c r="W9" s="39"/>
      <c r="X9" s="39"/>
      <c r="Y9" s="39"/>
      <c r="Z9" s="39"/>
      <c r="AA9" s="39"/>
      <c r="AB9" s="39"/>
      <c r="AC9" s="39"/>
    </row>
    <row r="10" spans="1:29" x14ac:dyDescent="0.25">
      <c r="B10" s="37">
        <v>6</v>
      </c>
      <c r="C10" s="24"/>
      <c r="D10" s="9">
        <v>3.9254764624463698</v>
      </c>
      <c r="E10" s="9">
        <v>4.3885097426549446</v>
      </c>
      <c r="F10" s="9">
        <v>166.5030745543821</v>
      </c>
      <c r="G10" s="9">
        <v>186.14310182579302</v>
      </c>
      <c r="H10" s="9">
        <v>2202.3668275452892</v>
      </c>
      <c r="I10" s="24"/>
      <c r="J10" s="9">
        <v>4.031019446867024</v>
      </c>
      <c r="K10" s="9">
        <v>4.2873393926942178</v>
      </c>
      <c r="L10" s="22">
        <v>170.97978752713865</v>
      </c>
      <c r="M10" s="22">
        <v>181.85185858860754</v>
      </c>
      <c r="N10" s="22">
        <v>919.38158517866179</v>
      </c>
      <c r="O10" s="21"/>
      <c r="P10" s="43"/>
      <c r="Q10" s="39">
        <v>25</v>
      </c>
      <c r="R10" s="39"/>
      <c r="S10" s="39"/>
      <c r="T10" s="39"/>
      <c r="U10" s="39"/>
      <c r="V10" s="39"/>
      <c r="W10" s="39"/>
      <c r="X10" s="39"/>
      <c r="Y10" s="39"/>
      <c r="Z10" s="39"/>
      <c r="AA10" s="39"/>
      <c r="AB10" s="39"/>
      <c r="AC10" s="39"/>
    </row>
    <row r="11" spans="1:29" ht="15.75" thickBot="1" x14ac:dyDescent="0.3">
      <c r="B11" s="37">
        <v>7</v>
      </c>
      <c r="C11" s="21"/>
      <c r="D11" s="9">
        <v>4.431390932224021</v>
      </c>
      <c r="E11" s="9">
        <v>4.9718247652795542</v>
      </c>
      <c r="F11" s="9">
        <v>161.11024377579835</v>
      </c>
      <c r="G11" s="9">
        <v>180.75857269101951</v>
      </c>
      <c r="H11" s="9">
        <v>2570.5140370655386</v>
      </c>
      <c r="I11" s="24"/>
      <c r="J11" s="9">
        <v>4.6906618553854864</v>
      </c>
      <c r="K11" s="9">
        <v>4.9897003224266516</v>
      </c>
      <c r="L11" s="22">
        <v>170.53644928855726</v>
      </c>
      <c r="M11" s="22">
        <v>181.40846691467169</v>
      </c>
      <c r="N11" s="22">
        <v>1072.6065979885068</v>
      </c>
      <c r="O11" s="21"/>
      <c r="P11" s="43"/>
      <c r="Q11" s="39">
        <v>10</v>
      </c>
      <c r="R11" s="39"/>
      <c r="S11" s="39"/>
      <c r="T11" s="39"/>
      <c r="U11" s="39"/>
      <c r="V11" s="39"/>
      <c r="W11" s="39"/>
      <c r="X11" s="39"/>
      <c r="Y11" s="39"/>
      <c r="Z11" s="39"/>
      <c r="AA11" s="39"/>
      <c r="AB11" s="39"/>
      <c r="AC11" s="39"/>
    </row>
    <row r="12" spans="1:29" ht="15.75" thickBot="1" x14ac:dyDescent="0.3">
      <c r="B12" s="37">
        <v>8</v>
      </c>
      <c r="C12" s="21"/>
      <c r="D12" s="9">
        <v>4.4962230255331637</v>
      </c>
      <c r="E12" s="9">
        <v>5.038055390405118</v>
      </c>
      <c r="F12" s="9">
        <v>163.46731732613148</v>
      </c>
      <c r="G12" s="9">
        <v>183.16649208305739</v>
      </c>
      <c r="H12" s="9">
        <v>2577.1659997027955</v>
      </c>
      <c r="I12" s="24"/>
      <c r="J12" s="9">
        <v>4.7695454936717683</v>
      </c>
      <c r="K12" s="9">
        <v>5.0685932719123494</v>
      </c>
      <c r="L12" s="22">
        <v>173.40438903673166</v>
      </c>
      <c r="M12" s="22">
        <v>184.27674518626472</v>
      </c>
      <c r="N12" s="22">
        <v>1072.6398665494157</v>
      </c>
      <c r="O12" s="21"/>
      <c r="P12" s="21"/>
      <c r="Q12" s="7" t="s">
        <v>27</v>
      </c>
      <c r="R12" s="41"/>
      <c r="S12" s="41"/>
      <c r="T12" s="41"/>
      <c r="U12" s="41"/>
    </row>
    <row r="13" spans="1:29" x14ac:dyDescent="0.25">
      <c r="B13" s="37">
        <v>9</v>
      </c>
      <c r="C13" s="21"/>
      <c r="D13" s="9">
        <v>4.4519246334819798</v>
      </c>
      <c r="E13" s="9">
        <v>4.9764485228285551</v>
      </c>
      <c r="F13" s="9">
        <v>167.85147456349171</v>
      </c>
      <c r="G13" s="9">
        <v>187.62766475513476</v>
      </c>
      <c r="H13" s="9">
        <v>2494.8401411483114</v>
      </c>
      <c r="I13" s="24"/>
      <c r="J13" s="9">
        <v>4.6774402307442173</v>
      </c>
      <c r="K13" s="9">
        <v>4.9658173203886733</v>
      </c>
      <c r="L13" s="22">
        <v>176.35411749972829</v>
      </c>
      <c r="M13" s="22">
        <v>187.2268351920068</v>
      </c>
      <c r="N13" s="22">
        <v>1034.3655617268753</v>
      </c>
      <c r="O13" s="21"/>
      <c r="P13" s="21"/>
      <c r="Q13" s="39">
        <v>75</v>
      </c>
      <c r="R13" s="40"/>
      <c r="S13" s="40"/>
      <c r="T13" s="40"/>
      <c r="U13" s="40"/>
      <c r="V13" s="26"/>
      <c r="W13" s="26"/>
      <c r="X13" s="26"/>
      <c r="Y13" s="26"/>
      <c r="Z13" s="26"/>
      <c r="AA13" s="26"/>
      <c r="AB13" s="26"/>
      <c r="AC13" s="26"/>
    </row>
    <row r="14" spans="1:29" x14ac:dyDescent="0.25">
      <c r="B14" s="37">
        <v>10</v>
      </c>
      <c r="C14" s="21"/>
      <c r="D14" s="9">
        <v>4.8477570435836617</v>
      </c>
      <c r="E14" s="9">
        <v>5.4307419596981843</v>
      </c>
      <c r="F14" s="9">
        <v>164.49803434996269</v>
      </c>
      <c r="G14" s="9">
        <v>184.28035262506006</v>
      </c>
      <c r="H14" s="9">
        <v>2772.9035796985008</v>
      </c>
      <c r="I14" s="24"/>
      <c r="J14" s="9">
        <v>5.198371564290647</v>
      </c>
      <c r="K14" s="9">
        <v>5.5187921511796878</v>
      </c>
      <c r="L14" s="22">
        <v>176.39537139724538</v>
      </c>
      <c r="M14" s="22">
        <v>187.26814332756976</v>
      </c>
      <c r="N14" s="22">
        <v>1149.3007795905817</v>
      </c>
      <c r="O14" s="21"/>
      <c r="P14" s="21"/>
      <c r="Q14" s="39">
        <v>50</v>
      </c>
      <c r="R14" s="39"/>
      <c r="S14" s="39"/>
      <c r="T14" s="39"/>
      <c r="U14" s="39"/>
      <c r="V14" s="26"/>
      <c r="W14" s="26"/>
      <c r="X14" s="26"/>
      <c r="Y14" s="26"/>
      <c r="Z14" s="26"/>
      <c r="AA14" s="26"/>
      <c r="AB14" s="26"/>
      <c r="AC14" s="26"/>
    </row>
    <row r="15" spans="1:29" x14ac:dyDescent="0.25">
      <c r="B15" s="37">
        <v>11</v>
      </c>
      <c r="C15" s="21"/>
      <c r="D15" s="9">
        <v>4.637425776096781</v>
      </c>
      <c r="E15" s="9">
        <v>5.1744302041903403</v>
      </c>
      <c r="F15" s="9">
        <v>171.66643934580796</v>
      </c>
      <c r="G15" s="9">
        <v>191.54506221432183</v>
      </c>
      <c r="H15" s="9">
        <v>2554.2024498658725</v>
      </c>
      <c r="I15" s="24"/>
      <c r="J15" s="9">
        <v>4.8996360893435673</v>
      </c>
      <c r="K15" s="9">
        <v>5.1933699538244156</v>
      </c>
      <c r="L15" s="22">
        <v>181.37283962219382</v>
      </c>
      <c r="M15" s="22">
        <v>192.24616656375241</v>
      </c>
      <c r="N15" s="22">
        <v>1053.5792846354752</v>
      </c>
      <c r="O15" s="21"/>
      <c r="P15" s="21"/>
      <c r="Q15" s="39">
        <v>35</v>
      </c>
      <c r="R15" s="39"/>
      <c r="S15" s="39"/>
      <c r="T15" s="39"/>
      <c r="U15" s="39"/>
      <c r="V15" s="26"/>
      <c r="W15" s="26"/>
      <c r="X15" s="26"/>
      <c r="Y15" s="26"/>
      <c r="Z15" s="26"/>
      <c r="AA15" s="26"/>
      <c r="AB15" s="26"/>
      <c r="AC15" s="26"/>
    </row>
    <row r="16" spans="1:29" x14ac:dyDescent="0.25">
      <c r="B16" s="37">
        <v>12</v>
      </c>
      <c r="C16" s="21"/>
      <c r="D16" s="9">
        <v>4.3168938957922354</v>
      </c>
      <c r="E16" s="9">
        <v>4.7889475352470763</v>
      </c>
      <c r="F16" s="9">
        <v>183.10544288081348</v>
      </c>
      <c r="G16" s="9">
        <v>203.12807785920131</v>
      </c>
      <c r="H16" s="9">
        <v>2245.2711733572323</v>
      </c>
      <c r="I16" s="24"/>
      <c r="J16" s="9">
        <v>4.4320661056147053</v>
      </c>
      <c r="K16" s="9">
        <v>4.6884323611109311</v>
      </c>
      <c r="L16" s="22">
        <v>187.99058923747072</v>
      </c>
      <c r="M16" s="22">
        <v>198.8646245706272</v>
      </c>
      <c r="N16" s="22">
        <v>919.54704786254717</v>
      </c>
      <c r="O16" s="21"/>
      <c r="P16" s="21"/>
      <c r="Q16" s="39">
        <v>25</v>
      </c>
      <c r="R16" s="39"/>
      <c r="S16" s="39"/>
      <c r="T16" s="39"/>
      <c r="U16" s="39"/>
      <c r="V16" s="26"/>
      <c r="W16" s="26"/>
      <c r="X16" s="26"/>
      <c r="Y16" s="26"/>
      <c r="Z16" s="26"/>
      <c r="AA16" s="26"/>
      <c r="AB16" s="26"/>
      <c r="AC16" s="26"/>
    </row>
    <row r="17" spans="2:29" ht="15.75" thickBot="1" x14ac:dyDescent="0.3">
      <c r="B17" s="37">
        <v>13</v>
      </c>
      <c r="C17" s="21"/>
      <c r="D17" s="9">
        <v>4.6021651654352391</v>
      </c>
      <c r="E17" s="9">
        <v>5.1135887124807509</v>
      </c>
      <c r="F17" s="9">
        <v>180.18970502037988</v>
      </c>
      <c r="G17" s="9">
        <v>200.21359698643278</v>
      </c>
      <c r="H17" s="9">
        <v>2432.5298050524743</v>
      </c>
      <c r="I17" s="24"/>
      <c r="J17" s="9">
        <v>4.8044353214638935</v>
      </c>
      <c r="K17" s="9">
        <v>5.0821678332830693</v>
      </c>
      <c r="L17" s="22">
        <v>188.10923820510044</v>
      </c>
      <c r="M17" s="22">
        <v>198.98336757253998</v>
      </c>
      <c r="N17" s="22">
        <v>996.18454969418428</v>
      </c>
      <c r="O17" s="21"/>
      <c r="P17" s="21"/>
      <c r="Q17" s="39">
        <v>10</v>
      </c>
      <c r="R17" s="39"/>
      <c r="S17" s="39"/>
      <c r="T17" s="39"/>
      <c r="U17" s="39"/>
      <c r="V17" s="26"/>
      <c r="W17" s="26"/>
      <c r="X17" s="26"/>
      <c r="Y17" s="26"/>
      <c r="Z17" s="26"/>
      <c r="AA17" s="26"/>
      <c r="AB17" s="26"/>
      <c r="AC17" s="26"/>
    </row>
    <row r="18" spans="2:29" ht="15.75" thickBot="1" x14ac:dyDescent="0.3">
      <c r="B18" s="37">
        <v>14</v>
      </c>
      <c r="C18" s="21"/>
      <c r="D18" s="9">
        <v>4.8876388100151198</v>
      </c>
      <c r="E18" s="9">
        <v>5.438491534133334</v>
      </c>
      <c r="F18" s="9">
        <v>177.69785880172506</v>
      </c>
      <c r="G18" s="9">
        <v>197.72498302177382</v>
      </c>
      <c r="H18" s="9">
        <v>2620.0703455147345</v>
      </c>
      <c r="I18" s="24"/>
      <c r="J18" s="9">
        <v>5.1722026587822558</v>
      </c>
      <c r="K18" s="9">
        <v>5.471299209972134</v>
      </c>
      <c r="L18" s="22">
        <v>188.04362872946274</v>
      </c>
      <c r="M18" s="22">
        <v>198.91775809690213</v>
      </c>
      <c r="N18" s="22">
        <v>1072.8141304398912</v>
      </c>
      <c r="O18" s="21"/>
      <c r="P18" s="21"/>
      <c r="Q18" s="7" t="s">
        <v>30</v>
      </c>
      <c r="R18" s="41"/>
      <c r="S18" s="41"/>
      <c r="T18" s="41"/>
      <c r="U18" s="41"/>
    </row>
    <row r="19" spans="2:29" x14ac:dyDescent="0.25">
      <c r="B19" s="37">
        <v>15</v>
      </c>
      <c r="C19" s="21"/>
      <c r="D19" s="9">
        <v>4.5123083937286346</v>
      </c>
      <c r="E19" s="9">
        <v>4.9887958463585989</v>
      </c>
      <c r="F19" s="9">
        <v>191.39414745723428</v>
      </c>
      <c r="G19" s="9">
        <v>211.60484712858877</v>
      </c>
      <c r="H19" s="9">
        <v>2266.3601176595394</v>
      </c>
      <c r="I19" s="24"/>
      <c r="J19" s="9">
        <v>4.6469688211201579</v>
      </c>
      <c r="K19" s="9">
        <v>4.9033607439967763</v>
      </c>
      <c r="L19" s="22">
        <v>197.10590637261515</v>
      </c>
      <c r="M19" s="22">
        <v>207.98103041380287</v>
      </c>
      <c r="N19" s="22">
        <v>919.63875643521146</v>
      </c>
      <c r="O19" s="21"/>
      <c r="P19" s="21"/>
      <c r="Q19" s="39">
        <v>75</v>
      </c>
      <c r="R19" s="40"/>
      <c r="S19" s="40"/>
      <c r="T19" s="40"/>
      <c r="U19" s="40"/>
      <c r="V19" s="26"/>
      <c r="W19" s="26"/>
      <c r="X19" s="26"/>
      <c r="Y19" s="26"/>
      <c r="Z19" s="26"/>
      <c r="AA19" s="26"/>
      <c r="AB19" s="26"/>
      <c r="AC19" s="26"/>
    </row>
    <row r="20" spans="2:29" x14ac:dyDescent="0.25">
      <c r="B20" s="37">
        <v>16</v>
      </c>
      <c r="C20" s="21"/>
      <c r="D20" s="9">
        <v>4.7543611821698688</v>
      </c>
      <c r="E20" s="9">
        <v>5.2628494912673798</v>
      </c>
      <c r="F20" s="9">
        <v>189.05724612661547</v>
      </c>
      <c r="G20" s="9">
        <v>209.27729162212401</v>
      </c>
      <c r="H20" s="9">
        <v>2418.5686688578726</v>
      </c>
      <c r="I20" s="24"/>
      <c r="J20" s="9">
        <v>4.9564907483061011</v>
      </c>
      <c r="K20" s="9">
        <v>5.2299767502312768</v>
      </c>
      <c r="L20" s="22">
        <v>197.09493145809526</v>
      </c>
      <c r="M20" s="22">
        <v>207.97010656512285</v>
      </c>
      <c r="N20" s="22">
        <v>980.95259522659319</v>
      </c>
      <c r="O20" s="21"/>
      <c r="P20" s="21"/>
      <c r="Q20" s="39">
        <v>50</v>
      </c>
      <c r="R20" s="39"/>
      <c r="S20" s="39"/>
      <c r="T20" s="39"/>
      <c r="U20" s="39"/>
      <c r="V20" s="26"/>
      <c r="W20" s="26"/>
      <c r="X20" s="26"/>
      <c r="Y20" s="26"/>
      <c r="Z20" s="26"/>
      <c r="AA20" s="26"/>
      <c r="AB20" s="26"/>
      <c r="AC20" s="26"/>
    </row>
    <row r="21" spans="2:29" x14ac:dyDescent="0.25">
      <c r="B21" s="37">
        <v>17</v>
      </c>
      <c r="C21" s="21"/>
      <c r="D21" s="9">
        <v>4.9954443350514479</v>
      </c>
      <c r="E21" s="9">
        <v>5.5356861645087916</v>
      </c>
      <c r="F21" s="9">
        <v>186.95898488377375</v>
      </c>
      <c r="G21" s="9">
        <v>207.17801991903403</v>
      </c>
      <c r="H21" s="9">
        <v>2569.6007930861269</v>
      </c>
      <c r="I21" s="24"/>
      <c r="J21" s="9">
        <v>5.262276439666639</v>
      </c>
      <c r="K21" s="9">
        <v>5.5528545007505468</v>
      </c>
      <c r="L21" s="22">
        <v>196.94541573302135</v>
      </c>
      <c r="M21" s="22">
        <v>207.82056030195449</v>
      </c>
      <c r="N21" s="22">
        <v>1042.2592170285734</v>
      </c>
      <c r="O21" s="21"/>
      <c r="P21" s="21"/>
      <c r="Q21" s="39">
        <v>35</v>
      </c>
      <c r="R21" s="39"/>
      <c r="S21" s="39"/>
      <c r="T21" s="39"/>
      <c r="U21" s="39"/>
      <c r="V21" s="26"/>
      <c r="W21" s="26"/>
      <c r="X21" s="26"/>
      <c r="Y21" s="26"/>
      <c r="Z21" s="26"/>
      <c r="AA21" s="26"/>
      <c r="AB21" s="26"/>
      <c r="AC21" s="26"/>
    </row>
    <row r="22" spans="2:29" x14ac:dyDescent="0.25">
      <c r="B22" s="37">
        <v>18</v>
      </c>
      <c r="C22" s="21"/>
      <c r="D22" s="9">
        <v>4.641927944312509</v>
      </c>
      <c r="E22" s="9">
        <v>5.1115465876286033</v>
      </c>
      <c r="F22" s="9">
        <v>201.94060764981649</v>
      </c>
      <c r="G22" s="9">
        <v>222.37071241073386</v>
      </c>
      <c r="H22" s="9">
        <v>2233.6893822627426</v>
      </c>
      <c r="I22" s="24"/>
      <c r="J22" s="9">
        <v>4.7687482643459065</v>
      </c>
      <c r="K22" s="9">
        <v>5.0187570960352721</v>
      </c>
      <c r="L22" s="22">
        <v>207.45774897495644</v>
      </c>
      <c r="M22" s="22">
        <v>218.33403486195084</v>
      </c>
      <c r="N22" s="22">
        <v>896.74321020617469</v>
      </c>
      <c r="O22" s="21"/>
      <c r="P22" s="21"/>
      <c r="Q22" s="39">
        <v>25</v>
      </c>
      <c r="R22" s="39"/>
      <c r="S22" s="39"/>
      <c r="T22" s="39"/>
      <c r="U22" s="39"/>
      <c r="V22" s="26"/>
      <c r="W22" s="26"/>
      <c r="X22" s="26"/>
      <c r="Y22" s="26"/>
      <c r="Z22" s="26"/>
      <c r="AA22" s="26"/>
      <c r="AB22" s="26"/>
      <c r="AC22" s="26"/>
    </row>
    <row r="23" spans="2:29" x14ac:dyDescent="0.25">
      <c r="B23" s="37">
        <v>19</v>
      </c>
      <c r="C23" s="21"/>
      <c r="D23" s="9">
        <v>4.8503084288416662</v>
      </c>
      <c r="E23" s="9">
        <v>5.3460731634857526</v>
      </c>
      <c r="F23" s="9">
        <v>199.90033606810115</v>
      </c>
      <c r="G23" s="9">
        <v>220.33275568017382</v>
      </c>
      <c r="H23" s="9">
        <v>2358.0503875554905</v>
      </c>
      <c r="I23" s="24"/>
      <c r="J23" s="9">
        <v>5.0278878595385921</v>
      </c>
      <c r="K23" s="9">
        <v>5.2917853564149775</v>
      </c>
      <c r="L23" s="22">
        <v>207.2190846375762</v>
      </c>
      <c r="M23" s="22">
        <v>218.09534108333759</v>
      </c>
      <c r="N23" s="22">
        <v>946.55972508994046</v>
      </c>
      <c r="O23" s="21"/>
      <c r="P23" s="21"/>
      <c r="Q23" s="39">
        <v>10</v>
      </c>
      <c r="R23" s="39"/>
      <c r="S23" s="39"/>
      <c r="T23" s="39"/>
      <c r="U23" s="39"/>
      <c r="V23" s="26"/>
      <c r="W23" s="26"/>
      <c r="X23" s="26"/>
      <c r="Y23" s="26"/>
      <c r="Z23" s="26"/>
      <c r="AA23" s="26"/>
      <c r="AB23" s="26"/>
      <c r="AC23" s="26"/>
    </row>
    <row r="24" spans="2:29" x14ac:dyDescent="0.25">
      <c r="B24" s="37">
        <v>20</v>
      </c>
      <c r="C24" s="21"/>
      <c r="D24" s="9">
        <v>5.0595946941285348</v>
      </c>
      <c r="E24" s="9">
        <v>5.5817437378264723</v>
      </c>
      <c r="F24" s="9">
        <v>198.09955590141868</v>
      </c>
      <c r="G24" s="9">
        <v>218.54338587676179</v>
      </c>
      <c r="H24" s="9">
        <v>2483.5444492387733</v>
      </c>
      <c r="I24" s="24"/>
      <c r="J24" s="9">
        <v>5.2937583915896855</v>
      </c>
      <c r="K24" s="9">
        <v>5.5715480515110709</v>
      </c>
      <c r="L24" s="22">
        <v>207.26782476080365</v>
      </c>
      <c r="M24" s="22">
        <v>218.14419166194946</v>
      </c>
      <c r="N24" s="22">
        <v>996.38873768706333</v>
      </c>
      <c r="O24" s="21"/>
    </row>
    <row r="25" spans="2:29" x14ac:dyDescent="0.25">
      <c r="B25" s="37">
        <v>21</v>
      </c>
      <c r="C25" s="21"/>
      <c r="D25" s="9">
        <v>5.2680841034723862</v>
      </c>
      <c r="E25" s="9">
        <v>5.8164134324302585</v>
      </c>
      <c r="F25" s="9">
        <v>196.44056480128484</v>
      </c>
      <c r="G25" s="9">
        <v>216.88711063501509</v>
      </c>
      <c r="H25" s="9">
        <v>2608.0680942048034</v>
      </c>
      <c r="I25" s="24"/>
      <c r="J25" s="9">
        <v>5.554073242654483</v>
      </c>
      <c r="K25" s="9">
        <v>5.8457518633565249</v>
      </c>
      <c r="L25" s="22">
        <v>207.10475825843446</v>
      </c>
      <c r="M25" s="22">
        <v>217.98110568679121</v>
      </c>
      <c r="N25" s="22">
        <v>1046.2063087156193</v>
      </c>
      <c r="O25" s="21"/>
      <c r="R25" s="52" t="s">
        <v>37</v>
      </c>
      <c r="S25" s="53"/>
      <c r="T25" s="54"/>
      <c r="U25" s="29"/>
    </row>
    <row r="26" spans="2:29" x14ac:dyDescent="0.25">
      <c r="B26" s="37">
        <v>22</v>
      </c>
      <c r="C26" s="21"/>
      <c r="D26" s="9">
        <v>4.7488686132380433</v>
      </c>
      <c r="E26" s="9">
        <v>5.1980053253548988</v>
      </c>
      <c r="F26" s="9">
        <v>219.73973415316675</v>
      </c>
      <c r="G26" s="9">
        <v>240.52219619978266</v>
      </c>
      <c r="H26" s="9">
        <v>2136.2693311231242</v>
      </c>
      <c r="I26" s="24"/>
      <c r="J26" s="9">
        <v>4.8126672594807083</v>
      </c>
      <c r="K26" s="9">
        <v>5.0477584000238993</v>
      </c>
      <c r="L26" s="22">
        <v>222.6918262631938</v>
      </c>
      <c r="M26" s="22">
        <v>233.56996776003797</v>
      </c>
      <c r="N26" s="22">
        <v>843.23519067472523</v>
      </c>
      <c r="O26" s="21"/>
      <c r="Q26" s="39" t="s">
        <v>38</v>
      </c>
      <c r="R26" s="39">
        <f>R6</f>
        <v>1</v>
      </c>
      <c r="S26" s="39">
        <f>S6</f>
        <v>3</v>
      </c>
      <c r="T26" s="39">
        <f>T6</f>
        <v>5</v>
      </c>
      <c r="U26" s="39">
        <f t="shared" ref="U26:AA31" si="0">U6</f>
        <v>8</v>
      </c>
      <c r="V26" s="39">
        <f t="shared" si="0"/>
        <v>10</v>
      </c>
      <c r="W26" s="39">
        <f t="shared" si="0"/>
        <v>13</v>
      </c>
      <c r="X26" s="39">
        <f t="shared" si="0"/>
        <v>16</v>
      </c>
      <c r="Y26" s="39">
        <f t="shared" si="0"/>
        <v>20</v>
      </c>
      <c r="Z26" s="39">
        <f t="shared" si="0"/>
        <v>25</v>
      </c>
      <c r="AA26" s="39">
        <f t="shared" si="0"/>
        <v>30</v>
      </c>
    </row>
    <row r="27" spans="2:29" x14ac:dyDescent="0.25">
      <c r="B27" s="37">
        <v>23</v>
      </c>
      <c r="C27" s="21"/>
      <c r="D27" s="9">
        <v>4.9239971168146193</v>
      </c>
      <c r="E27" s="9">
        <v>5.3935334359043985</v>
      </c>
      <c r="F27" s="9">
        <v>217.93705371605046</v>
      </c>
      <c r="G27" s="9">
        <v>238.71882096072827</v>
      </c>
      <c r="H27" s="9">
        <v>2233.2978161423512</v>
      </c>
      <c r="I27" s="24"/>
      <c r="J27" s="9">
        <v>5.0266226809855503</v>
      </c>
      <c r="K27" s="9">
        <v>5.2723988956816266</v>
      </c>
      <c r="L27" s="22">
        <v>222.47928080529559</v>
      </c>
      <c r="M27" s="22">
        <v>233.35738305304776</v>
      </c>
      <c r="N27" s="22">
        <v>881.5608945437499</v>
      </c>
      <c r="O27" s="21"/>
      <c r="Q27" s="39">
        <v>75</v>
      </c>
      <c r="R27" s="39">
        <f>R7</f>
        <v>0</v>
      </c>
      <c r="S27" s="39">
        <f t="shared" ref="S27:T27" si="1">S7</f>
        <v>0</v>
      </c>
      <c r="T27" s="39">
        <f t="shared" si="1"/>
        <v>0</v>
      </c>
      <c r="U27" s="39">
        <f t="shared" si="0"/>
        <v>0</v>
      </c>
      <c r="V27" s="39">
        <f t="shared" si="0"/>
        <v>0</v>
      </c>
      <c r="W27" s="39">
        <f t="shared" si="0"/>
        <v>0</v>
      </c>
      <c r="X27" s="39">
        <f t="shared" si="0"/>
        <v>0</v>
      </c>
      <c r="Y27" s="39">
        <f t="shared" si="0"/>
        <v>0</v>
      </c>
      <c r="Z27" s="39">
        <f t="shared" si="0"/>
        <v>0</v>
      </c>
      <c r="AA27" s="39">
        <f t="shared" si="0"/>
        <v>0</v>
      </c>
    </row>
    <row r="28" spans="2:29" x14ac:dyDescent="0.25">
      <c r="B28" s="37">
        <v>24</v>
      </c>
      <c r="C28" s="21"/>
      <c r="D28" s="9">
        <v>5.0996799036798874</v>
      </c>
      <c r="E28" s="9">
        <v>5.5897617238522033</v>
      </c>
      <c r="F28" s="9">
        <v>216.30810713783438</v>
      </c>
      <c r="G28" s="9">
        <v>237.09542572770178</v>
      </c>
      <c r="H28" s="9">
        <v>2331.0202304342474</v>
      </c>
      <c r="I28" s="24"/>
      <c r="J28" s="9">
        <v>5.247462793137597</v>
      </c>
      <c r="K28" s="9">
        <v>5.5039269886572706</v>
      </c>
      <c r="L28" s="22">
        <v>222.57646862124631</v>
      </c>
      <c r="M28" s="22">
        <v>233.45465818005715</v>
      </c>
      <c r="N28" s="22">
        <v>919.89698383654911</v>
      </c>
      <c r="O28" s="21"/>
      <c r="Q28" s="39">
        <v>50</v>
      </c>
      <c r="R28" s="39">
        <f t="shared" ref="R28:T31" si="2">R8</f>
        <v>0</v>
      </c>
      <c r="S28" s="39">
        <f t="shared" si="2"/>
        <v>0</v>
      </c>
      <c r="T28" s="39">
        <f t="shared" si="2"/>
        <v>0</v>
      </c>
      <c r="U28" s="39">
        <f t="shared" si="0"/>
        <v>0</v>
      </c>
      <c r="V28" s="39">
        <f t="shared" si="0"/>
        <v>0</v>
      </c>
      <c r="W28" s="39">
        <f t="shared" si="0"/>
        <v>0</v>
      </c>
      <c r="X28" s="39">
        <f t="shared" si="0"/>
        <v>0</v>
      </c>
      <c r="Y28" s="39">
        <f t="shared" si="0"/>
        <v>0</v>
      </c>
      <c r="Z28" s="39">
        <f t="shared" si="0"/>
        <v>0</v>
      </c>
      <c r="AA28" s="39">
        <f t="shared" si="0"/>
        <v>0</v>
      </c>
    </row>
    <row r="29" spans="2:29" x14ac:dyDescent="0.25">
      <c r="B29" s="37">
        <v>25</v>
      </c>
      <c r="C29" s="21"/>
      <c r="D29" s="9">
        <v>5.2746749490868226</v>
      </c>
      <c r="E29" s="9">
        <v>5.7851256016933137</v>
      </c>
      <c r="F29" s="9">
        <v>214.78147188292709</v>
      </c>
      <c r="G29" s="9">
        <v>235.5667038732706</v>
      </c>
      <c r="H29" s="9">
        <v>2427.9023397475203</v>
      </c>
      <c r="I29" s="24"/>
      <c r="J29" s="9">
        <v>5.4693657033742431</v>
      </c>
      <c r="K29" s="9">
        <v>5.7365159583589085</v>
      </c>
      <c r="L29" s="22">
        <v>222.70915788660946</v>
      </c>
      <c r="M29" s="22">
        <v>233.58734953507101</v>
      </c>
      <c r="N29" s="22">
        <v>958.22620818820917</v>
      </c>
      <c r="O29" s="21"/>
      <c r="Q29" s="39">
        <v>35</v>
      </c>
      <c r="R29" s="39">
        <f t="shared" si="2"/>
        <v>0</v>
      </c>
      <c r="S29" s="39">
        <f t="shared" si="2"/>
        <v>0</v>
      </c>
      <c r="T29" s="39">
        <f t="shared" si="2"/>
        <v>0</v>
      </c>
      <c r="U29" s="39">
        <f t="shared" si="0"/>
        <v>0</v>
      </c>
      <c r="V29" s="39">
        <f t="shared" si="0"/>
        <v>0</v>
      </c>
      <c r="W29" s="39">
        <f t="shared" si="0"/>
        <v>0</v>
      </c>
      <c r="X29" s="39">
        <f t="shared" si="0"/>
        <v>0</v>
      </c>
      <c r="Y29" s="39">
        <f t="shared" si="0"/>
        <v>0</v>
      </c>
      <c r="Z29" s="39">
        <f t="shared" si="0"/>
        <v>0</v>
      </c>
      <c r="AA29" s="39">
        <f t="shared" si="0"/>
        <v>0</v>
      </c>
    </row>
    <row r="30" spans="2:29" x14ac:dyDescent="0.25">
      <c r="B30" s="37">
        <v>26</v>
      </c>
      <c r="C30" s="21"/>
      <c r="D30" s="9">
        <v>5.451010890482249</v>
      </c>
      <c r="E30" s="9">
        <v>5.9821802934264516</v>
      </c>
      <c r="F30" s="9">
        <v>213.42477053971265</v>
      </c>
      <c r="G30" s="9">
        <v>234.22177685995749</v>
      </c>
      <c r="H30" s="9">
        <v>2526.4487950507173</v>
      </c>
      <c r="I30" s="24"/>
      <c r="J30" s="9">
        <v>5.6800054087359175</v>
      </c>
      <c r="K30" s="9">
        <v>5.9578417231855756</v>
      </c>
      <c r="L30" s="22">
        <v>222.39064925378318</v>
      </c>
      <c r="M30" s="22">
        <v>233.26884283115314</v>
      </c>
      <c r="N30" s="22">
        <v>996.55543253986923</v>
      </c>
      <c r="O30" s="21"/>
      <c r="Q30" s="39">
        <v>25</v>
      </c>
      <c r="R30" s="39">
        <f t="shared" si="2"/>
        <v>0</v>
      </c>
      <c r="S30" s="39">
        <f t="shared" si="2"/>
        <v>0</v>
      </c>
      <c r="T30" s="39">
        <f t="shared" si="2"/>
        <v>0</v>
      </c>
      <c r="U30" s="39">
        <f t="shared" si="0"/>
        <v>0</v>
      </c>
      <c r="V30" s="39">
        <f t="shared" si="0"/>
        <v>0</v>
      </c>
      <c r="W30" s="39">
        <f t="shared" si="0"/>
        <v>0</v>
      </c>
      <c r="X30" s="39">
        <f t="shared" si="0"/>
        <v>0</v>
      </c>
      <c r="Y30" s="39">
        <f t="shared" si="0"/>
        <v>0</v>
      </c>
      <c r="Z30" s="39">
        <f t="shared" si="0"/>
        <v>0</v>
      </c>
      <c r="AA30" s="39">
        <f t="shared" si="0"/>
        <v>0</v>
      </c>
    </row>
    <row r="31" spans="2:29" x14ac:dyDescent="0.25">
      <c r="B31" s="37">
        <v>27</v>
      </c>
      <c r="C31" s="21"/>
      <c r="D31" s="9">
        <v>5.6255535073786831</v>
      </c>
      <c r="E31" s="9">
        <v>6.1769777629839178</v>
      </c>
      <c r="F31" s="9">
        <v>212.10095165308391</v>
      </c>
      <c r="G31" s="9">
        <v>232.89136973817682</v>
      </c>
      <c r="H31" s="9">
        <v>2622.7887721197148</v>
      </c>
      <c r="I31" s="24"/>
      <c r="J31" s="9">
        <v>5.9069798708815462</v>
      </c>
      <c r="K31" s="9">
        <v>6.1955044617484401</v>
      </c>
      <c r="L31" s="22">
        <v>222.71160524315843</v>
      </c>
      <c r="M31" s="22">
        <v>233.58988419258401</v>
      </c>
      <c r="N31" s="22">
        <v>1034.8925779774604</v>
      </c>
      <c r="O31" s="21"/>
      <c r="Q31" s="39">
        <v>10</v>
      </c>
      <c r="R31" s="39">
        <f t="shared" si="2"/>
        <v>0</v>
      </c>
      <c r="S31" s="39">
        <f t="shared" si="2"/>
        <v>0</v>
      </c>
      <c r="T31" s="39">
        <f t="shared" si="2"/>
        <v>0</v>
      </c>
      <c r="U31" s="39">
        <f t="shared" si="0"/>
        <v>0</v>
      </c>
      <c r="V31" s="39">
        <f t="shared" si="0"/>
        <v>0</v>
      </c>
      <c r="W31" s="39">
        <f t="shared" si="0"/>
        <v>0</v>
      </c>
      <c r="X31" s="39">
        <f t="shared" si="0"/>
        <v>0</v>
      </c>
      <c r="Y31" s="39">
        <f t="shared" si="0"/>
        <v>0</v>
      </c>
      <c r="Z31" s="39">
        <f t="shared" si="0"/>
        <v>0</v>
      </c>
      <c r="AA31" s="39">
        <f t="shared" si="0"/>
        <v>0</v>
      </c>
    </row>
    <row r="32" spans="2:29" x14ac:dyDescent="0.25">
      <c r="B32" s="37">
        <v>28</v>
      </c>
      <c r="C32" s="21"/>
      <c r="D32" s="9">
        <v>5.1836109381129267</v>
      </c>
      <c r="E32" s="9">
        <v>5.6491621361492612</v>
      </c>
      <c r="F32" s="9">
        <v>235.57299351693999</v>
      </c>
      <c r="G32" s="9">
        <v>256.73030849797954</v>
      </c>
      <c r="H32" s="9">
        <v>2214.3430265257171</v>
      </c>
      <c r="I32" s="24"/>
      <c r="J32" s="9">
        <v>5.2819988622836123</v>
      </c>
      <c r="K32" s="9">
        <v>5.5214068640052512</v>
      </c>
      <c r="L32" s="22">
        <v>240.04430475142934</v>
      </c>
      <c r="M32" s="22">
        <v>250.92437663776704</v>
      </c>
      <c r="N32" s="22">
        <v>858.71850760251505</v>
      </c>
      <c r="O32" s="21"/>
      <c r="U32" s="29"/>
    </row>
    <row r="33" spans="2:21" x14ac:dyDescent="0.25">
      <c r="B33" s="37">
        <v>29</v>
      </c>
      <c r="C33" s="21"/>
      <c r="D33" s="9">
        <v>5.3370336135012142</v>
      </c>
      <c r="E33" s="9">
        <v>5.8192765270954157</v>
      </c>
      <c r="F33" s="9">
        <v>234.18176484744478</v>
      </c>
      <c r="G33" s="9">
        <v>255.34192698413733</v>
      </c>
      <c r="H33" s="9">
        <v>2293.7353341864118</v>
      </c>
      <c r="I33" s="24"/>
      <c r="J33" s="9">
        <v>5.4737633292017476</v>
      </c>
      <c r="K33" s="9">
        <v>5.7217242084218976</v>
      </c>
      <c r="L33" s="22">
        <v>240.18127851901684</v>
      </c>
      <c r="M33" s="22">
        <v>251.06146412661786</v>
      </c>
      <c r="N33" s="22">
        <v>889.39628585782248</v>
      </c>
      <c r="O33" s="21"/>
      <c r="Q33" s="29"/>
      <c r="R33" s="29"/>
      <c r="S33" s="29"/>
      <c r="T33" s="29"/>
      <c r="U33" s="29"/>
    </row>
    <row r="34" spans="2:21" x14ac:dyDescent="0.25">
      <c r="B34" s="37">
        <v>30</v>
      </c>
      <c r="C34" s="21"/>
      <c r="D34" s="9">
        <v>5.4910967710374328</v>
      </c>
      <c r="E34" s="9">
        <v>5.9901989504560103</v>
      </c>
      <c r="F34" s="9">
        <v>232.91045145729578</v>
      </c>
      <c r="G34" s="9">
        <v>254.0803777541399</v>
      </c>
      <c r="H34" s="9">
        <v>2373.9245762461919</v>
      </c>
      <c r="I34" s="24"/>
      <c r="J34" s="9">
        <v>5.655972052039985</v>
      </c>
      <c r="K34" s="9">
        <v>5.9124829020879321</v>
      </c>
      <c r="L34" s="22">
        <v>239.90380410316396</v>
      </c>
      <c r="M34" s="22">
        <v>250.78397256121772</v>
      </c>
      <c r="N34" s="22">
        <v>920.06367868935627</v>
      </c>
      <c r="O34" s="21"/>
      <c r="R34" s="52" t="s">
        <v>39</v>
      </c>
      <c r="S34" s="53"/>
      <c r="T34" s="54"/>
      <c r="U34" s="29"/>
    </row>
    <row r="35" spans="2:21" x14ac:dyDescent="0.25">
      <c r="B35" s="37">
        <v>31</v>
      </c>
      <c r="C35" s="21"/>
      <c r="D35" s="9">
        <v>5.64409282812729</v>
      </c>
      <c r="E35" s="9">
        <v>6.1597784423192534</v>
      </c>
      <c r="F35" s="9">
        <v>231.67735620504502</v>
      </c>
      <c r="G35" s="9">
        <v>252.84509447001079</v>
      </c>
      <c r="H35" s="9">
        <v>2452.8018582748268</v>
      </c>
      <c r="I35" s="24"/>
      <c r="J35" s="9">
        <v>5.8518406956548841</v>
      </c>
      <c r="K35" s="9">
        <v>6.1169032408268134</v>
      </c>
      <c r="L35" s="22">
        <v>240.20494038405977</v>
      </c>
      <c r="M35" s="22">
        <v>251.08516357748098</v>
      </c>
      <c r="N35" s="22">
        <v>950.73723236550143</v>
      </c>
      <c r="O35" s="21"/>
      <c r="Q35" s="39" t="s">
        <v>38</v>
      </c>
      <c r="R35" s="42">
        <v>1</v>
      </c>
      <c r="S35" s="42">
        <v>2</v>
      </c>
      <c r="T35" s="42">
        <v>3</v>
      </c>
    </row>
    <row r="36" spans="2:21" x14ac:dyDescent="0.25">
      <c r="B36" s="37">
        <v>32</v>
      </c>
      <c r="C36" s="21"/>
      <c r="D36" s="9">
        <v>5.7978614710423804</v>
      </c>
      <c r="E36" s="9">
        <v>6.3303322642061772</v>
      </c>
      <c r="F36" s="9">
        <v>230.55205129337955</v>
      </c>
      <c r="G36" s="9">
        <v>251.72576063963874</v>
      </c>
      <c r="H36" s="9">
        <v>2532.6387143758261</v>
      </c>
      <c r="I36" s="24"/>
      <c r="J36" s="9">
        <v>6.0381727765058359</v>
      </c>
      <c r="K36" s="9">
        <v>6.3117872631297729</v>
      </c>
      <c r="L36" s="22">
        <v>240.10803408122436</v>
      </c>
      <c r="M36" s="22">
        <v>250.98831838429035</v>
      </c>
      <c r="N36" s="22">
        <v>981.41166616230635</v>
      </c>
      <c r="O36" s="21"/>
      <c r="Q36" s="39">
        <v>75</v>
      </c>
      <c r="R36" s="39">
        <f>R7</f>
        <v>0</v>
      </c>
      <c r="S36" s="39">
        <f>R13</f>
        <v>0</v>
      </c>
      <c r="T36" s="39">
        <f>R19</f>
        <v>0</v>
      </c>
    </row>
    <row r="37" spans="2:21" x14ac:dyDescent="0.25">
      <c r="B37" s="37">
        <v>33</v>
      </c>
      <c r="C37" s="21"/>
      <c r="D37" s="9">
        <v>5.9515292299738451</v>
      </c>
      <c r="E37" s="9">
        <v>6.5007601265593902</v>
      </c>
      <c r="F37" s="9">
        <v>229.4910565914652</v>
      </c>
      <c r="G37" s="9">
        <v>250.66940822171475</v>
      </c>
      <c r="H37" s="9">
        <v>2612.3563013830881</v>
      </c>
      <c r="I37" s="24"/>
      <c r="J37" s="9">
        <v>6.2253409066151768</v>
      </c>
      <c r="K37" s="9">
        <v>6.5075063001134135</v>
      </c>
      <c r="L37" s="22">
        <v>240.0492389596254</v>
      </c>
      <c r="M37" s="22">
        <v>250.92954077538937</v>
      </c>
      <c r="N37" s="22">
        <v>1012.0824034523447</v>
      </c>
      <c r="O37" s="21"/>
      <c r="Q37" s="39">
        <v>50</v>
      </c>
      <c r="R37" s="39">
        <f t="shared" ref="R37:R40" si="3">R8</f>
        <v>0</v>
      </c>
      <c r="S37" s="39">
        <f t="shared" ref="S37:S40" si="4">R14</f>
        <v>0</v>
      </c>
      <c r="T37" s="39">
        <f t="shared" ref="T37:T40" si="5">R20</f>
        <v>0</v>
      </c>
    </row>
    <row r="38" spans="2:21" x14ac:dyDescent="0.25">
      <c r="B38" s="37">
        <v>34</v>
      </c>
      <c r="D38" s="9">
        <v>4.9773249975471447</v>
      </c>
      <c r="E38" s="9">
        <v>5.348777840005523</v>
      </c>
      <c r="F38" s="9">
        <v>298.04936388096894</v>
      </c>
      <c r="G38" s="9">
        <v>320.29249316448096</v>
      </c>
      <c r="H38" s="9">
        <v>1766.7745563757928</v>
      </c>
      <c r="I38" s="24"/>
      <c r="J38" s="9">
        <v>4.8888790705727674</v>
      </c>
      <c r="K38" s="9">
        <v>5.0706668712559964</v>
      </c>
      <c r="L38" s="22">
        <v>292.75309484377192</v>
      </c>
      <c r="M38" s="22">
        <v>303.6388092348671</v>
      </c>
      <c r="N38" s="22">
        <v>652.04268310405246</v>
      </c>
      <c r="Q38" s="39">
        <v>35</v>
      </c>
      <c r="R38" s="39">
        <f t="shared" si="3"/>
        <v>0</v>
      </c>
      <c r="S38" s="39">
        <f t="shared" si="4"/>
        <v>0</v>
      </c>
      <c r="T38" s="39">
        <f t="shared" si="5"/>
        <v>0</v>
      </c>
    </row>
    <row r="39" spans="2:21" x14ac:dyDescent="0.25">
      <c r="B39" s="37">
        <v>35</v>
      </c>
      <c r="D39" s="9">
        <v>5.0984163130538125</v>
      </c>
      <c r="E39" s="9">
        <v>5.4810503248453815</v>
      </c>
      <c r="F39" s="9">
        <v>296.57761461523245</v>
      </c>
      <c r="G39" s="9">
        <v>318.83564054325404</v>
      </c>
      <c r="H39" s="9">
        <v>1819.9565575086133</v>
      </c>
      <c r="I39" s="24"/>
      <c r="J39" s="9">
        <v>5.0332569489958097</v>
      </c>
      <c r="K39" s="9">
        <v>5.2203932971593368</v>
      </c>
      <c r="L39" s="22">
        <v>292.78725941950444</v>
      </c>
      <c r="M39" s="22">
        <v>303.67308127835167</v>
      </c>
      <c r="N39" s="22">
        <v>671.22700998264224</v>
      </c>
      <c r="Q39" s="39">
        <v>25</v>
      </c>
      <c r="R39" s="39">
        <f t="shared" si="3"/>
        <v>0</v>
      </c>
      <c r="S39" s="39">
        <f t="shared" si="4"/>
        <v>0</v>
      </c>
      <c r="T39" s="39">
        <f t="shared" si="5"/>
        <v>0</v>
      </c>
    </row>
    <row r="40" spans="2:21" x14ac:dyDescent="0.25">
      <c r="B40" s="37">
        <v>36</v>
      </c>
      <c r="D40" s="9">
        <v>5.2178935012018757</v>
      </c>
      <c r="E40" s="9">
        <v>5.6112903765592153</v>
      </c>
      <c r="F40" s="9">
        <v>295.09634272727425</v>
      </c>
      <c r="G40" s="9">
        <v>317.34478055597822</v>
      </c>
      <c r="H40" s="9">
        <v>1871.1489333049467</v>
      </c>
      <c r="I40" s="24"/>
      <c r="J40" s="9">
        <v>5.1871093950546134</v>
      </c>
      <c r="K40" s="9">
        <v>5.3795940443704069</v>
      </c>
      <c r="L40" s="22">
        <v>293.3553571866355</v>
      </c>
      <c r="M40" s="22">
        <v>304.24126661179895</v>
      </c>
      <c r="N40" s="22">
        <v>690.41045674057466</v>
      </c>
      <c r="Q40" s="39">
        <v>10</v>
      </c>
      <c r="R40" s="39">
        <f t="shared" si="3"/>
        <v>0</v>
      </c>
      <c r="S40" s="39">
        <f t="shared" si="4"/>
        <v>0</v>
      </c>
      <c r="T40" s="39">
        <f t="shared" si="5"/>
        <v>0</v>
      </c>
    </row>
    <row r="41" spans="2:21" x14ac:dyDescent="0.25">
      <c r="B41" s="37">
        <v>37</v>
      </c>
      <c r="D41" s="9">
        <v>5.3392646754816777</v>
      </c>
      <c r="E41" s="9">
        <v>5.7439168070247444</v>
      </c>
      <c r="F41" s="9">
        <v>293.79935841867194</v>
      </c>
      <c r="G41" s="9">
        <v>316.06582091041491</v>
      </c>
      <c r="H41" s="9">
        <v>1924.6833203965491</v>
      </c>
      <c r="I41" s="24"/>
      <c r="J41" s="9">
        <v>5.3147126501178565</v>
      </c>
      <c r="K41" s="9">
        <v>5.5125425953839926</v>
      </c>
      <c r="L41" s="22">
        <v>292.44835416280614</v>
      </c>
      <c r="M41" s="22">
        <v>303.33418105617852</v>
      </c>
      <c r="N41" s="22">
        <v>709.58316602646744</v>
      </c>
    </row>
    <row r="42" spans="2:21" x14ac:dyDescent="0.25">
      <c r="B42" s="37">
        <v>38</v>
      </c>
      <c r="D42" s="9">
        <v>5.4592853691085557</v>
      </c>
      <c r="E42" s="9">
        <v>5.874842838933823</v>
      </c>
      <c r="F42" s="9">
        <v>292.49828021930955</v>
      </c>
      <c r="G42" s="9">
        <v>314.76307076203693</v>
      </c>
      <c r="H42" s="9">
        <v>1976.5533614982251</v>
      </c>
      <c r="I42" s="24"/>
      <c r="J42" s="9">
        <v>5.4662454533248024</v>
      </c>
      <c r="K42" s="9">
        <v>5.6694239460712321</v>
      </c>
      <c r="L42" s="22">
        <v>292.87118848949325</v>
      </c>
      <c r="M42" s="22">
        <v>303.75711140573503</v>
      </c>
      <c r="N42" s="22">
        <v>728.76749290505757</v>
      </c>
    </row>
    <row r="43" spans="2:21" x14ac:dyDescent="0.25">
      <c r="B43" s="37">
        <v>39</v>
      </c>
      <c r="D43" s="9">
        <v>5.5803660301704907</v>
      </c>
      <c r="E43" s="9">
        <v>6.0071046693289478</v>
      </c>
      <c r="F43" s="9">
        <v>291.31925886658883</v>
      </c>
      <c r="G43" s="9">
        <v>313.59686277594744</v>
      </c>
      <c r="H43" s="9">
        <v>2029.7353626310492</v>
      </c>
      <c r="I43" s="24"/>
      <c r="J43" s="9">
        <v>5.6074088273362772</v>
      </c>
      <c r="K43" s="9">
        <v>5.8159351285789205</v>
      </c>
      <c r="L43" s="22">
        <v>292.73100992116537</v>
      </c>
      <c r="M43" s="22">
        <v>303.61698535785945</v>
      </c>
      <c r="N43" s="22">
        <v>747.94917942167194</v>
      </c>
    </row>
    <row r="44" spans="2:21" x14ac:dyDescent="0.25">
      <c r="B44" s="37">
        <v>40</v>
      </c>
      <c r="D44" s="9">
        <v>5.7002281209253667</v>
      </c>
      <c r="E44" s="9">
        <v>6.137832205445414</v>
      </c>
      <c r="F44" s="9">
        <v>290.13716430354623</v>
      </c>
      <c r="G44" s="9">
        <v>312.41087080736327</v>
      </c>
      <c r="H44" s="9">
        <v>2081.4156574472299</v>
      </c>
      <c r="I44" s="24"/>
      <c r="J44" s="9">
        <v>5.7484888880709821</v>
      </c>
      <c r="K44" s="9">
        <v>5.9623619632321292</v>
      </c>
      <c r="L44" s="22">
        <v>292.59359970046319</v>
      </c>
      <c r="M44" s="22">
        <v>303.47957237238859</v>
      </c>
      <c r="N44" s="22">
        <v>767.12716943151815</v>
      </c>
    </row>
    <row r="45" spans="2:21" x14ac:dyDescent="0.25">
      <c r="B45" s="37">
        <v>41</v>
      </c>
      <c r="D45" s="9">
        <v>5.8206234923186724</v>
      </c>
      <c r="E45" s="9">
        <v>6.2692320775235517</v>
      </c>
      <c r="F45" s="9">
        <v>289.03921442012091</v>
      </c>
      <c r="G45" s="9">
        <v>311.3161188137579</v>
      </c>
      <c r="H45" s="9">
        <v>2133.7573536014252</v>
      </c>
      <c r="I45" s="24"/>
      <c r="J45" s="9">
        <v>5.8963389981490968</v>
      </c>
      <c r="K45" s="9">
        <v>6.1155603744625173</v>
      </c>
      <c r="L45" s="22">
        <v>292.79907800750613</v>
      </c>
      <c r="M45" s="22">
        <v>303.68512388856129</v>
      </c>
      <c r="N45" s="22">
        <v>786.31061618945034</v>
      </c>
    </row>
    <row r="46" spans="2:21" x14ac:dyDescent="0.25">
      <c r="B46" s="37">
        <v>42</v>
      </c>
      <c r="D46" s="9">
        <v>5.9413151323826767</v>
      </c>
      <c r="E46" s="9">
        <v>6.4010057245181118</v>
      </c>
      <c r="F46" s="9">
        <v>288.00790962086205</v>
      </c>
      <c r="G46" s="9">
        <v>310.29161677379471</v>
      </c>
      <c r="H46" s="9">
        <v>2186.4676996817298</v>
      </c>
      <c r="I46" s="24"/>
      <c r="J46" s="9">
        <v>6.0410219347455074</v>
      </c>
      <c r="K46" s="9">
        <v>6.2655913658831661</v>
      </c>
      <c r="L46" s="22">
        <v>292.84124148151074</v>
      </c>
      <c r="M46" s="22">
        <v>303.72734514468493</v>
      </c>
      <c r="N46" s="22">
        <v>805.49318282672243</v>
      </c>
    </row>
    <row r="47" spans="2:21" x14ac:dyDescent="0.25">
      <c r="B47" s="37">
        <v>43</v>
      </c>
      <c r="D47" s="9">
        <v>6.0616094414483905</v>
      </c>
      <c r="E47" s="9">
        <v>6.5322794587185635</v>
      </c>
      <c r="F47" s="9">
        <v>287.00575961428149</v>
      </c>
      <c r="G47" s="9">
        <v>309.29109606479608</v>
      </c>
      <c r="H47" s="9">
        <v>2238.690126742184</v>
      </c>
      <c r="I47" s="24"/>
      <c r="J47" s="9">
        <v>6.1875973728779101</v>
      </c>
      <c r="K47" s="9">
        <v>6.4175151051678387</v>
      </c>
      <c r="L47" s="22">
        <v>292.97105023741364</v>
      </c>
      <c r="M47" s="22">
        <v>303.85722065833352</v>
      </c>
      <c r="N47" s="22">
        <v>824.67662958465473</v>
      </c>
    </row>
    <row r="48" spans="2:21" x14ac:dyDescent="0.25">
      <c r="B48" s="37">
        <v>44</v>
      </c>
      <c r="D48" s="9">
        <v>6.1821299104242557</v>
      </c>
      <c r="E48" s="9">
        <v>6.6638386223112001</v>
      </c>
      <c r="F48" s="9">
        <v>286.05962675617025</v>
      </c>
      <c r="G48" s="9">
        <v>308.3492609638277</v>
      </c>
      <c r="H48" s="9">
        <v>2291.1944625696633</v>
      </c>
      <c r="I48" s="24"/>
      <c r="J48" s="9">
        <v>6.3226222702122818</v>
      </c>
      <c r="K48" s="9">
        <v>6.5578852984525566</v>
      </c>
      <c r="L48" s="22">
        <v>292.56049176311382</v>
      </c>
      <c r="M48" s="22">
        <v>303.4465868505788</v>
      </c>
      <c r="N48" s="22">
        <v>843.8493388705474</v>
      </c>
    </row>
    <row r="49" spans="2:32" x14ac:dyDescent="0.25">
      <c r="B49" s="37">
        <v>45</v>
      </c>
      <c r="D49" s="9">
        <v>6.3031004993573445</v>
      </c>
      <c r="E49" s="9">
        <v>6.7959653050273845</v>
      </c>
      <c r="F49" s="9">
        <v>285.17590936256192</v>
      </c>
      <c r="G49" s="9">
        <v>307.47496189457951</v>
      </c>
      <c r="H49" s="9">
        <v>2344.2571946087455</v>
      </c>
      <c r="I49" s="24"/>
      <c r="J49" s="9">
        <v>6.4696405825344048</v>
      </c>
      <c r="K49" s="9">
        <v>6.7102533898951027</v>
      </c>
      <c r="L49" s="22">
        <v>292.71080741316052</v>
      </c>
      <c r="M49" s="22">
        <v>303.5970333507546</v>
      </c>
      <c r="N49" s="22">
        <v>863.03806635243302</v>
      </c>
    </row>
    <row r="50" spans="2:32" x14ac:dyDescent="0.25">
      <c r="B50" s="37">
        <v>46</v>
      </c>
      <c r="D50" s="9">
        <v>6.4234851726619331</v>
      </c>
      <c r="E50" s="9">
        <v>6.9273544790167998</v>
      </c>
      <c r="F50" s="9">
        <v>284.30468172660022</v>
      </c>
      <c r="G50" s="9">
        <v>306.60603355110493</v>
      </c>
      <c r="H50" s="9">
        <v>2396.598890762943</v>
      </c>
      <c r="I50" s="24"/>
      <c r="J50" s="9">
        <v>6.6135307608464418</v>
      </c>
      <c r="K50" s="9">
        <v>6.8594906377192766</v>
      </c>
      <c r="L50" s="22">
        <v>292.71613579086647</v>
      </c>
      <c r="M50" s="22">
        <v>303.60236696167289</v>
      </c>
      <c r="N50" s="22">
        <v>882.2171125070696</v>
      </c>
    </row>
    <row r="51" spans="2:32" x14ac:dyDescent="0.25">
      <c r="B51" s="37">
        <v>47</v>
      </c>
      <c r="D51" s="9">
        <v>6.543595700186609</v>
      </c>
      <c r="E51" s="9">
        <v>7.0583988397669533</v>
      </c>
      <c r="F51" s="9">
        <v>283.45865202721421</v>
      </c>
      <c r="G51" s="9">
        <v>305.75914409469641</v>
      </c>
      <c r="H51" s="9">
        <v>2448.604464925686</v>
      </c>
      <c r="I51" s="24"/>
      <c r="J51" s="9">
        <v>6.7538953338768462</v>
      </c>
      <c r="K51" s="9">
        <v>7.0052014920121337</v>
      </c>
      <c r="L51" s="22">
        <v>292.56851354967216</v>
      </c>
      <c r="M51" s="22">
        <v>303.45471558521893</v>
      </c>
      <c r="N51" s="22">
        <v>901.393342275598</v>
      </c>
    </row>
    <row r="52" spans="2:32" x14ac:dyDescent="0.25">
      <c r="B52" s="37">
        <v>48</v>
      </c>
      <c r="D52" s="9">
        <v>6.6649423480154981</v>
      </c>
      <c r="E52" s="9">
        <v>7.1910007437815704</v>
      </c>
      <c r="F52" s="9">
        <v>282.70030486457011</v>
      </c>
      <c r="G52" s="9">
        <v>305.01360647983705</v>
      </c>
      <c r="H52" s="9">
        <v>2502.1388520172909</v>
      </c>
      <c r="I52" s="24"/>
      <c r="J52" s="9">
        <v>6.8974586262769417</v>
      </c>
      <c r="K52" s="9">
        <v>7.1541145635326586</v>
      </c>
      <c r="L52" s="22">
        <v>292.5627191688825</v>
      </c>
      <c r="M52" s="22">
        <v>303.44904164834054</v>
      </c>
      <c r="N52" s="22">
        <v>920.58206975748362</v>
      </c>
    </row>
    <row r="53" spans="2:32" x14ac:dyDescent="0.25">
      <c r="B53" s="37">
        <v>49</v>
      </c>
      <c r="D53" s="9">
        <v>6.7843906048402047</v>
      </c>
      <c r="E53" s="9">
        <v>7.3212118641720467</v>
      </c>
      <c r="F53" s="9">
        <v>281.89403177299153</v>
      </c>
      <c r="G53" s="9">
        <v>304.19916099514251</v>
      </c>
      <c r="H53" s="9">
        <v>2553.3312278136214</v>
      </c>
      <c r="I53" s="24"/>
      <c r="J53" s="9">
        <v>7.0469925140038274</v>
      </c>
      <c r="K53" s="9">
        <v>7.3089955207716768</v>
      </c>
      <c r="L53" s="22">
        <v>292.80524181927126</v>
      </c>
      <c r="M53" s="22">
        <v>303.69156724129863</v>
      </c>
      <c r="N53" s="22">
        <v>939.76111591212009</v>
      </c>
    </row>
    <row r="54" spans="2:32" x14ac:dyDescent="0.25">
      <c r="B54" s="37">
        <v>50</v>
      </c>
      <c r="D54" s="9">
        <v>6.9054482296595641</v>
      </c>
      <c r="E54" s="9">
        <v>7.4534506583245985</v>
      </c>
      <c r="F54" s="9">
        <v>281.18554206537539</v>
      </c>
      <c r="G54" s="9">
        <v>303.49985893991033</v>
      </c>
      <c r="H54" s="9">
        <v>2606.5132289464445</v>
      </c>
      <c r="I54" s="24"/>
      <c r="J54" s="9">
        <v>7.1859782609552028</v>
      </c>
      <c r="K54" s="9">
        <v>7.4533287806256379</v>
      </c>
      <c r="L54" s="22">
        <v>292.60854985459883</v>
      </c>
      <c r="M54" s="22">
        <v>303.49489615607524</v>
      </c>
      <c r="N54" s="22">
        <v>958.94174628394455</v>
      </c>
      <c r="AD54" s="26"/>
    </row>
    <row r="55" spans="2:32" x14ac:dyDescent="0.25">
      <c r="B55" s="37">
        <v>51</v>
      </c>
      <c r="D55" s="9">
        <v>7.0257270488207517</v>
      </c>
      <c r="E55" s="9">
        <v>7.5847089026205214</v>
      </c>
      <c r="F55" s="9">
        <v>280.4737456008711</v>
      </c>
      <c r="G55" s="9">
        <v>302.78883600627694</v>
      </c>
      <c r="H55" s="9">
        <v>2658.7356560068997</v>
      </c>
      <c r="I55" s="24"/>
      <c r="J55" s="9">
        <v>7.3324872521163051</v>
      </c>
      <c r="K55" s="9">
        <v>7.6051863192670357</v>
      </c>
      <c r="L55" s="22">
        <v>292.71990640696589</v>
      </c>
      <c r="M55" s="22">
        <v>303.60631407042138</v>
      </c>
      <c r="N55" s="22">
        <v>978.12607316253434</v>
      </c>
    </row>
    <row r="56" spans="2:32" x14ac:dyDescent="0.25">
      <c r="B56" s="37">
        <v>52</v>
      </c>
      <c r="D56" s="9">
        <v>5.9930036348499236</v>
      </c>
      <c r="E56" s="9">
        <v>6.3638560379377891</v>
      </c>
      <c r="F56" s="9">
        <v>391.07590968273627</v>
      </c>
      <c r="G56" s="9">
        <v>415.2760353179425</v>
      </c>
      <c r="H56" s="9">
        <v>1763.918632605104</v>
      </c>
      <c r="I56" s="24"/>
      <c r="J56" s="9">
        <v>5.9237925840433556</v>
      </c>
      <c r="K56" s="9">
        <v>6.0907673829917854</v>
      </c>
      <c r="L56" s="22">
        <v>386.55951418167552</v>
      </c>
      <c r="M56" s="22">
        <v>397.45552315672836</v>
      </c>
      <c r="N56" s="22">
        <v>598.90871485266075</v>
      </c>
    </row>
    <row r="57" spans="2:32" x14ac:dyDescent="0.25">
      <c r="B57" s="37">
        <v>53</v>
      </c>
      <c r="D57" s="9">
        <v>6.0920882342708529</v>
      </c>
      <c r="E57" s="9">
        <v>6.470336409031118</v>
      </c>
      <c r="F57" s="9">
        <v>390.04092875708983</v>
      </c>
      <c r="G57" s="9">
        <v>414.25795643476357</v>
      </c>
      <c r="H57" s="9">
        <v>1799.0958064532888</v>
      </c>
      <c r="I57" s="24"/>
      <c r="J57" s="9">
        <v>6.0341709890702786</v>
      </c>
      <c r="K57" s="9">
        <v>6.2043572615497</v>
      </c>
      <c r="L57" s="22">
        <v>386.33282486227029</v>
      </c>
      <c r="M57" s="22">
        <v>397.22886070859374</v>
      </c>
      <c r="N57" s="22">
        <v>610.42768972848762</v>
      </c>
      <c r="P57" s="28"/>
    </row>
    <row r="58" spans="2:32" x14ac:dyDescent="0.25">
      <c r="B58" s="37">
        <v>54</v>
      </c>
      <c r="D58" s="9">
        <v>6.1901091518831208</v>
      </c>
      <c r="E58" s="9">
        <v>6.575477267264783</v>
      </c>
      <c r="F58" s="9">
        <v>388.97744024322503</v>
      </c>
      <c r="G58" s="9">
        <v>413.19341114042857</v>
      </c>
      <c r="H58" s="9">
        <v>1832.9610202703291</v>
      </c>
      <c r="I58" s="24"/>
      <c r="J58" s="9">
        <v>6.1503041459557366</v>
      </c>
      <c r="K58" s="9">
        <v>6.3237023353565984</v>
      </c>
      <c r="L58" s="22">
        <v>386.47615166581926</v>
      </c>
      <c r="M58" s="22">
        <v>397.37224125019088</v>
      </c>
      <c r="N58" s="22">
        <v>621.94824882150215</v>
      </c>
    </row>
    <row r="59" spans="2:32" x14ac:dyDescent="0.25">
      <c r="B59" s="37">
        <v>55</v>
      </c>
      <c r="D59" s="9">
        <v>6.2885460258873858</v>
      </c>
      <c r="E59" s="9">
        <v>6.6811423626749384</v>
      </c>
      <c r="F59" s="9">
        <v>387.97828689452274</v>
      </c>
      <c r="G59" s="9">
        <v>412.1999199335217</v>
      </c>
      <c r="H59" s="9">
        <v>1867.3412597194288</v>
      </c>
      <c r="I59" s="24"/>
      <c r="J59" s="9">
        <v>6.2619260663416405</v>
      </c>
      <c r="K59" s="9">
        <v>6.4385357292734984</v>
      </c>
      <c r="L59" s="22">
        <v>386.33594123000125</v>
      </c>
      <c r="M59" s="22">
        <v>397.23205524288267</v>
      </c>
      <c r="N59" s="22">
        <v>633.46722369732868</v>
      </c>
    </row>
    <row r="60" spans="2:32" x14ac:dyDescent="0.25">
      <c r="B60" s="37">
        <v>56</v>
      </c>
      <c r="D60" s="9">
        <v>6.3870564220618968</v>
      </c>
      <c r="E60" s="9">
        <v>6.7869003568167665</v>
      </c>
      <c r="F60" s="9">
        <v>387.01927261911538</v>
      </c>
      <c r="G60" s="9">
        <v>411.24753968991712</v>
      </c>
      <c r="H60" s="9">
        <v>1901.8136616500565</v>
      </c>
      <c r="I60" s="24"/>
      <c r="J60" s="9">
        <v>6.375923277101923</v>
      </c>
      <c r="K60" s="9">
        <v>6.5557446598927998</v>
      </c>
      <c r="L60" s="22">
        <v>386.34466738946855</v>
      </c>
      <c r="M60" s="22">
        <v>397.24081988448938</v>
      </c>
      <c r="N60" s="22">
        <v>644.98707869381599</v>
      </c>
      <c r="AE60" s="26"/>
      <c r="AF60" s="26"/>
    </row>
    <row r="61" spans="2:32" x14ac:dyDescent="0.25">
      <c r="B61" s="37">
        <v>57</v>
      </c>
      <c r="D61" s="9">
        <v>6.4850739978421217</v>
      </c>
      <c r="E61" s="9">
        <v>6.8920378732183973</v>
      </c>
      <c r="F61" s="9">
        <v>386.06456975267736</v>
      </c>
      <c r="G61" s="9">
        <v>410.29163848069851</v>
      </c>
      <c r="H61" s="9">
        <v>1935.6788754670963</v>
      </c>
      <c r="I61" s="24"/>
      <c r="J61" s="9">
        <v>6.4879541661988016</v>
      </c>
      <c r="K61" s="9">
        <v>6.6709862342709823</v>
      </c>
      <c r="L61" s="22">
        <v>386.23602977885542</v>
      </c>
      <c r="M61" s="22">
        <v>397.1321578160593</v>
      </c>
      <c r="N61" s="22">
        <v>656.50323718353457</v>
      </c>
    </row>
    <row r="62" spans="2:32" x14ac:dyDescent="0.25">
      <c r="B62" s="37">
        <v>58</v>
      </c>
      <c r="D62" s="9">
        <v>6.5844383764056937</v>
      </c>
      <c r="E62" s="9">
        <v>6.9988721103069054</v>
      </c>
      <c r="F62" s="9">
        <v>385.22158217009309</v>
      </c>
      <c r="G62" s="9">
        <v>409.46796577209642</v>
      </c>
      <c r="H62" s="9">
        <v>1971.2084352740599</v>
      </c>
      <c r="I62" s="24"/>
      <c r="J62" s="9">
        <v>6.5976024384110952</v>
      </c>
      <c r="K62" s="9">
        <v>6.7838474579824295</v>
      </c>
      <c r="L62" s="22">
        <v>385.99174364835636</v>
      </c>
      <c r="M62" s="22">
        <v>396.88798065585246</v>
      </c>
      <c r="N62" s="22">
        <v>668.02749278331601</v>
      </c>
    </row>
    <row r="63" spans="2:32" x14ac:dyDescent="0.25">
      <c r="B63" s="37">
        <v>59</v>
      </c>
      <c r="D63" s="9">
        <v>6.6819050490622383</v>
      </c>
      <c r="E63" s="9">
        <v>7.1033162488684285</v>
      </c>
      <c r="F63" s="9">
        <v>384.29802721723917</v>
      </c>
      <c r="G63" s="9">
        <v>408.53475185544647</v>
      </c>
      <c r="H63" s="9">
        <v>2004.3959837857549</v>
      </c>
      <c r="I63" s="24"/>
      <c r="J63" s="9">
        <v>6.7185399385797346</v>
      </c>
      <c r="K63" s="9">
        <v>6.9079971706661389</v>
      </c>
      <c r="L63" s="22">
        <v>386.40501851171604</v>
      </c>
      <c r="M63" s="22">
        <v>397.30131829422521</v>
      </c>
      <c r="N63" s="22">
        <v>679.54910802112113</v>
      </c>
    </row>
    <row r="64" spans="2:32" x14ac:dyDescent="0.25">
      <c r="B64" s="37">
        <v>60</v>
      </c>
      <c r="D64" s="9">
        <v>6.7809819889902592</v>
      </c>
      <c r="E64" s="9">
        <v>7.2097889604688516</v>
      </c>
      <c r="F64" s="9">
        <v>383.49632559377238</v>
      </c>
      <c r="G64" s="9">
        <v>407.74737038610942</v>
      </c>
      <c r="H64" s="9">
        <v>2039.5731576339394</v>
      </c>
      <c r="I64" s="24"/>
      <c r="J64" s="9">
        <v>6.8265676349574393</v>
      </c>
      <c r="K64" s="9">
        <v>7.0192360449812057</v>
      </c>
      <c r="L64" s="22">
        <v>386.07440761148251</v>
      </c>
      <c r="M64" s="22">
        <v>396.97070956628409</v>
      </c>
      <c r="N64" s="22">
        <v>691.06702675215888</v>
      </c>
    </row>
    <row r="65" spans="2:29" x14ac:dyDescent="0.25">
      <c r="B65" s="37">
        <v>61</v>
      </c>
      <c r="D65" s="9">
        <v>6.8799613415409162</v>
      </c>
      <c r="E65" s="9">
        <v>7.3161390091418133</v>
      </c>
      <c r="F65" s="9">
        <v>382.71548072148516</v>
      </c>
      <c r="G65" s="9">
        <v>406.97898126296718</v>
      </c>
      <c r="H65" s="9">
        <v>2074.6310623883846</v>
      </c>
      <c r="I65" s="24"/>
      <c r="J65" s="9">
        <v>6.9398707847099725</v>
      </c>
      <c r="K65" s="9">
        <v>7.1357518999048626</v>
      </c>
      <c r="L65" s="22">
        <v>386.04809702613824</v>
      </c>
      <c r="M65" s="22">
        <v>396.94448603830131</v>
      </c>
      <c r="N65" s="22">
        <v>702.59040223128181</v>
      </c>
    </row>
    <row r="66" spans="2:29" x14ac:dyDescent="0.25">
      <c r="B66" s="37">
        <v>62</v>
      </c>
      <c r="D66" s="9">
        <v>6.9779738390823276</v>
      </c>
      <c r="E66" s="9">
        <v>7.4212714473046315</v>
      </c>
      <c r="F66" s="9">
        <v>381.90690808628739</v>
      </c>
      <c r="G66" s="9">
        <v>406.1687386437506</v>
      </c>
      <c r="H66" s="9">
        <v>2108.496276205422</v>
      </c>
      <c r="I66" s="24"/>
      <c r="J66" s="9">
        <v>7.0583287322269213</v>
      </c>
      <c r="K66" s="9">
        <v>7.2574223062649157</v>
      </c>
      <c r="L66" s="22">
        <v>386.30475902384427</v>
      </c>
      <c r="M66" s="22">
        <v>397.20121880344959</v>
      </c>
      <c r="N66" s="22">
        <v>714.11289758974385</v>
      </c>
    </row>
    <row r="67" spans="2:29" x14ac:dyDescent="0.25">
      <c r="B67" s="37">
        <v>63</v>
      </c>
      <c r="D67" s="9">
        <v>7.0759283144874212</v>
      </c>
      <c r="E67" s="9">
        <v>7.526331045960621</v>
      </c>
      <c r="F67" s="9">
        <v>381.12087925805622</v>
      </c>
      <c r="G67" s="9">
        <v>405.38029475945973</v>
      </c>
      <c r="H67" s="9">
        <v>2142.2910128307049</v>
      </c>
      <c r="I67" s="24"/>
      <c r="J67" s="9">
        <v>7.1746827938323872</v>
      </c>
      <c r="K67" s="9">
        <v>7.376988087729397</v>
      </c>
      <c r="L67" s="22">
        <v>386.43995434274376</v>
      </c>
      <c r="M67" s="22">
        <v>397.33644284033437</v>
      </c>
      <c r="N67" s="22">
        <v>725.63275258623116</v>
      </c>
    </row>
    <row r="68" spans="2:29" x14ac:dyDescent="0.25">
      <c r="B68" s="37">
        <v>64</v>
      </c>
      <c r="D68" s="9">
        <v>7.1742243072361251</v>
      </c>
      <c r="E68" s="9">
        <v>7.6318210661832637</v>
      </c>
      <c r="F68" s="9">
        <v>380.37752108732587</v>
      </c>
      <c r="G68" s="9">
        <v>404.63931070691524</v>
      </c>
      <c r="H68" s="9">
        <v>2176.5086126065244</v>
      </c>
      <c r="I68" s="24"/>
      <c r="J68" s="9">
        <v>7.281988318069426</v>
      </c>
      <c r="K68" s="9">
        <v>7.4875042972477432</v>
      </c>
      <c r="L68" s="22">
        <v>386.09117116958691</v>
      </c>
      <c r="M68" s="22">
        <v>396.98763263439429</v>
      </c>
      <c r="N68" s="22">
        <v>737.14891107594974</v>
      </c>
    </row>
    <row r="69" spans="2:29" x14ac:dyDescent="0.25">
      <c r="B69" s="37">
        <v>65</v>
      </c>
      <c r="D69" s="9">
        <v>7.2732964714611281</v>
      </c>
      <c r="E69" s="9">
        <v>7.7382890020806636</v>
      </c>
      <c r="F69" s="9">
        <v>379.69755498606543</v>
      </c>
      <c r="G69" s="9">
        <v>403.97217759436842</v>
      </c>
      <c r="H69" s="9">
        <v>2211.6857864547082</v>
      </c>
      <c r="I69" s="24"/>
      <c r="J69" s="9">
        <v>7.4004178627387383</v>
      </c>
      <c r="K69" s="9">
        <v>7.609148025056343</v>
      </c>
      <c r="L69" s="22">
        <v>386.33384179823202</v>
      </c>
      <c r="M69" s="22">
        <v>397.23045966535955</v>
      </c>
      <c r="N69" s="22">
        <v>748.67756727902713</v>
      </c>
    </row>
    <row r="70" spans="2:29" x14ac:dyDescent="0.25">
      <c r="B70" s="37">
        <v>66</v>
      </c>
      <c r="D70" s="9">
        <v>7.3719857814645113</v>
      </c>
      <c r="E70" s="9">
        <v>7.8442749213538203</v>
      </c>
      <c r="F70" s="9">
        <v>379.01851009878658</v>
      </c>
      <c r="G70" s="9">
        <v>403.30047854570921</v>
      </c>
      <c r="H70" s="9">
        <v>2246.3913052503731</v>
      </c>
      <c r="I70" s="24"/>
      <c r="J70" s="9">
        <v>7.5144647076203208</v>
      </c>
      <c r="K70" s="9">
        <v>7.7264063434689181</v>
      </c>
      <c r="L70" s="22">
        <v>386.34382947851577</v>
      </c>
      <c r="M70" s="22">
        <v>397.24045969845042</v>
      </c>
      <c r="N70" s="22">
        <v>760.19654215485411</v>
      </c>
    </row>
    <row r="71" spans="2:29" x14ac:dyDescent="0.25">
      <c r="B71" s="37">
        <v>67</v>
      </c>
      <c r="D71" s="9">
        <v>7.4701122592055871</v>
      </c>
      <c r="E71" s="9">
        <v>7.949552114255046</v>
      </c>
      <c r="F71" s="9">
        <v>378.33123001107271</v>
      </c>
      <c r="G71" s="9">
        <v>402.6129360662481</v>
      </c>
      <c r="H71" s="9">
        <v>2280.4028947733668</v>
      </c>
      <c r="I71" s="24"/>
      <c r="J71" s="9">
        <v>7.6206459863144955</v>
      </c>
      <c r="K71" s="9">
        <v>7.8357983074443966</v>
      </c>
      <c r="L71" s="22">
        <v>385.95515963342632</v>
      </c>
      <c r="M71" s="22">
        <v>396.85176191574186</v>
      </c>
      <c r="N71" s="22">
        <v>771.71270064457428</v>
      </c>
    </row>
    <row r="72" spans="2:29" x14ac:dyDescent="0.25">
      <c r="B72" s="37">
        <v>68</v>
      </c>
      <c r="D72" s="9">
        <v>7.5687998306725026</v>
      </c>
      <c r="E72" s="9">
        <v>8.0555362949917324</v>
      </c>
      <c r="F72" s="9">
        <v>377.69216329153272</v>
      </c>
      <c r="G72" s="9">
        <v>401.98089496291419</v>
      </c>
      <c r="H72" s="9">
        <v>2315.1084135690307</v>
      </c>
      <c r="I72" s="24"/>
      <c r="J72" s="9">
        <v>7.7425554313126685</v>
      </c>
      <c r="K72" s="9">
        <v>7.9609219355818599</v>
      </c>
      <c r="L72" s="22">
        <v>386.3627755626955</v>
      </c>
      <c r="M72" s="22">
        <v>397.25952527638333</v>
      </c>
      <c r="N72" s="22">
        <v>783.24135684764997</v>
      </c>
    </row>
    <row r="73" spans="2:29" x14ac:dyDescent="0.25">
      <c r="B73" s="37">
        <v>69</v>
      </c>
      <c r="D73" s="9">
        <v>7.6671880213341277</v>
      </c>
      <c r="E73" s="9">
        <v>8.1611435886773833</v>
      </c>
      <c r="F73" s="9">
        <v>377.0568972987171</v>
      </c>
      <c r="G73" s="9">
        <v>401.34863934386226</v>
      </c>
      <c r="H73" s="9">
        <v>2349.4452824385912</v>
      </c>
      <c r="I73" s="24"/>
      <c r="J73" s="9">
        <v>7.853482044305875</v>
      </c>
      <c r="K73" s="9">
        <v>8.0750595294500069</v>
      </c>
      <c r="L73" s="22">
        <v>386.21846293289343</v>
      </c>
      <c r="M73" s="22">
        <v>397.11519832365553</v>
      </c>
      <c r="N73" s="22">
        <v>794.75857148215937</v>
      </c>
    </row>
    <row r="74" spans="2:29" x14ac:dyDescent="0.25">
      <c r="B74" s="37">
        <v>70</v>
      </c>
      <c r="D74" s="9">
        <v>7.7655885552115773</v>
      </c>
      <c r="E74" s="9">
        <v>8.2667666449720638</v>
      </c>
      <c r="F74" s="9">
        <v>376.44038010574963</v>
      </c>
      <c r="G74" s="9">
        <v>400.73521227059518</v>
      </c>
      <c r="H74" s="9">
        <v>2383.798415275478</v>
      </c>
      <c r="I74" s="24"/>
      <c r="J74" s="9">
        <v>7.9639439438321231</v>
      </c>
      <c r="K74" s="9">
        <v>8.1887328532416426</v>
      </c>
      <c r="L74" s="22">
        <v>386.05574632782822</v>
      </c>
      <c r="M74" s="22">
        <v>396.95248929844149</v>
      </c>
      <c r="N74" s="22">
        <v>806.27737033385608</v>
      </c>
    </row>
    <row r="75" spans="2:29" x14ac:dyDescent="0.25">
      <c r="B75" s="37">
        <v>71</v>
      </c>
      <c r="D75" s="9">
        <v>7.8646555846291664</v>
      </c>
      <c r="E75" s="9">
        <v>8.3732294460620587</v>
      </c>
      <c r="F75" s="9">
        <v>375.87308321213737</v>
      </c>
      <c r="G75" s="9">
        <v>400.17919849981627</v>
      </c>
      <c r="H75" s="9">
        <v>2418.9755891236609</v>
      </c>
      <c r="I75" s="24"/>
      <c r="J75" s="9">
        <v>8.0784007309111363</v>
      </c>
      <c r="K75" s="9">
        <v>8.3064025918198094</v>
      </c>
      <c r="L75" s="22">
        <v>386.08853973024014</v>
      </c>
      <c r="M75" s="22">
        <v>396.98536305780476</v>
      </c>
      <c r="N75" s="22">
        <v>817.80162593363752</v>
      </c>
      <c r="O75" s="28"/>
    </row>
    <row r="76" spans="2:29" x14ac:dyDescent="0.25">
      <c r="B76" s="37">
        <v>72</v>
      </c>
      <c r="D76" s="9">
        <v>7.9623959808729037</v>
      </c>
      <c r="E76" s="9">
        <v>8.4780213950633083</v>
      </c>
      <c r="F76" s="9">
        <v>375.25902179374424</v>
      </c>
      <c r="G76" s="9">
        <v>399.55988412285853</v>
      </c>
      <c r="H76" s="9">
        <v>2452.5155235941365</v>
      </c>
      <c r="I76" s="24"/>
      <c r="J76" s="9">
        <v>8.1943805334059814</v>
      </c>
      <c r="K76" s="9">
        <v>8.4255946068297245</v>
      </c>
      <c r="L76" s="22">
        <v>386.19220025710405</v>
      </c>
      <c r="M76" s="22">
        <v>397.08906688196998</v>
      </c>
      <c r="N76" s="22">
        <v>829.32324117144265</v>
      </c>
    </row>
    <row r="77" spans="2:29" x14ac:dyDescent="0.25">
      <c r="B77" s="37">
        <v>73</v>
      </c>
      <c r="D77" s="9">
        <v>8.0614614231114068</v>
      </c>
      <c r="E77" s="9">
        <v>8.5844826089742128</v>
      </c>
      <c r="F77" s="9">
        <v>374.72337649402368</v>
      </c>
      <c r="G77" s="9">
        <v>399.03513021432803</v>
      </c>
      <c r="H77" s="9">
        <v>2487.6926974423186</v>
      </c>
      <c r="I77" s="24"/>
      <c r="J77" s="9">
        <v>8.3049512203766032</v>
      </c>
      <c r="K77" s="9">
        <v>8.5393767673313352</v>
      </c>
      <c r="L77" s="22">
        <v>386.04158719853433</v>
      </c>
      <c r="M77" s="22">
        <v>396.93846158405131</v>
      </c>
      <c r="N77" s="22">
        <v>840.84221604726952</v>
      </c>
    </row>
    <row r="78" spans="2:29" x14ac:dyDescent="0.25">
      <c r="B78" s="37">
        <v>74</v>
      </c>
      <c r="D78" s="9">
        <v>8.1601441485671025</v>
      </c>
      <c r="E78" s="9">
        <v>8.6904619436996828</v>
      </c>
      <c r="F78" s="9">
        <v>374.18465855765828</v>
      </c>
      <c r="G78" s="9">
        <v>398.5024622000829</v>
      </c>
      <c r="H78" s="9">
        <v>2522.398216237988</v>
      </c>
      <c r="I78" s="24"/>
      <c r="J78" s="9">
        <v>8.4213129380656184</v>
      </c>
      <c r="K78" s="9">
        <v>8.6589518799099547</v>
      </c>
      <c r="L78" s="22">
        <v>386.16059336287611</v>
      </c>
      <c r="M78" s="22">
        <v>397.05756340349001</v>
      </c>
      <c r="N78" s="22">
        <v>852.36805586423702</v>
      </c>
    </row>
    <row r="79" spans="2:29" x14ac:dyDescent="0.25">
      <c r="B79" s="37">
        <v>75</v>
      </c>
      <c r="D79" s="9">
        <v>8.2584310051254999</v>
      </c>
      <c r="E79" s="9">
        <v>8.7959428277320146</v>
      </c>
      <c r="F79" s="9">
        <v>373.64239583912138</v>
      </c>
      <c r="G79" s="9">
        <v>397.96144688718414</v>
      </c>
      <c r="H79" s="9">
        <v>2556.6158160138016</v>
      </c>
      <c r="I79" s="24"/>
      <c r="J79" s="9">
        <v>8.5341986154440832</v>
      </c>
      <c r="K79" s="9">
        <v>8.7750490308194102</v>
      </c>
      <c r="L79" s="22">
        <v>386.11915692731293</v>
      </c>
      <c r="M79" s="22">
        <v>397.01613314275056</v>
      </c>
      <c r="N79" s="22">
        <v>863.88703074006537</v>
      </c>
      <c r="R79" s="29"/>
      <c r="S79" s="29"/>
      <c r="T79" s="29"/>
      <c r="U79" s="29"/>
      <c r="V79" s="29"/>
      <c r="W79" s="29"/>
      <c r="X79" s="29"/>
      <c r="Y79" s="29"/>
      <c r="Z79" s="29"/>
      <c r="AA79" s="29"/>
      <c r="AB79" s="29"/>
      <c r="AC79" s="29"/>
    </row>
    <row r="80" spans="2:29" x14ac:dyDescent="0.25">
      <c r="B80" s="37">
        <v>76</v>
      </c>
      <c r="D80" s="9">
        <v>8.3569454031171357</v>
      </c>
      <c r="E80" s="9">
        <v>8.9017105226796289</v>
      </c>
      <c r="F80" s="9">
        <v>373.12456256180423</v>
      </c>
      <c r="G80" s="9">
        <v>397.4474744788626</v>
      </c>
      <c r="H80" s="9">
        <v>2591.1153245566452</v>
      </c>
      <c r="I80" s="24"/>
      <c r="J80" s="9">
        <v>8.6470860496287401</v>
      </c>
      <c r="K80" s="9">
        <v>8.8911479385350614</v>
      </c>
      <c r="L80" s="22">
        <v>386.07888936291761</v>
      </c>
      <c r="M80" s="22">
        <v>396.9758715906836</v>
      </c>
      <c r="N80" s="22">
        <v>875.40600561589349</v>
      </c>
      <c r="V80" s="29"/>
      <c r="W80" s="29"/>
      <c r="X80" s="29"/>
      <c r="Y80" s="29"/>
      <c r="Z80" s="29"/>
      <c r="AA80" s="29"/>
      <c r="AB80" s="29"/>
      <c r="AC80" s="29"/>
    </row>
    <row r="81" spans="2:29" x14ac:dyDescent="0.25">
      <c r="B81" s="37">
        <v>77</v>
      </c>
      <c r="D81" s="9">
        <v>8.4543747213276319</v>
      </c>
      <c r="E81" s="9">
        <v>9.006111607806444</v>
      </c>
      <c r="F81" s="9">
        <v>372.5723615649967</v>
      </c>
      <c r="G81" s="9">
        <v>396.88662743723955</v>
      </c>
      <c r="H81" s="9">
        <v>2624.2757664561268</v>
      </c>
      <c r="I81" s="24"/>
      <c r="J81" s="9">
        <v>8.7663944183249747</v>
      </c>
      <c r="K81" s="9">
        <v>9.013668716808791</v>
      </c>
      <c r="L81" s="22">
        <v>386.32262923078088</v>
      </c>
      <c r="M81" s="22">
        <v>397.21965856495922</v>
      </c>
      <c r="N81" s="22">
        <v>886.92832495022435</v>
      </c>
      <c r="V81" s="29"/>
      <c r="W81" s="29"/>
      <c r="X81" s="29"/>
      <c r="Y81" s="29"/>
      <c r="Z81" s="29"/>
      <c r="AA81" s="29"/>
      <c r="AB81" s="29"/>
      <c r="AC81" s="29"/>
    </row>
    <row r="82" spans="2:29" x14ac:dyDescent="0.25">
      <c r="B82" s="37">
        <v>78</v>
      </c>
      <c r="D82" s="9">
        <v>6.804703472667045</v>
      </c>
      <c r="E82" s="9">
        <v>7.0604380972720859</v>
      </c>
      <c r="F82" s="9">
        <v>888.08743089012978</v>
      </c>
      <c r="G82" s="9">
        <v>921.4635664803742</v>
      </c>
      <c r="H82" s="9">
        <v>1216.3735911837398</v>
      </c>
      <c r="I82" s="24"/>
      <c r="J82" s="9">
        <v>6.575986692402747</v>
      </c>
      <c r="K82" s="9">
        <v>6.6576834470163817</v>
      </c>
      <c r="L82" s="22">
        <v>858.23741632266604</v>
      </c>
      <c r="M82" s="22">
        <v>868.89972676842115</v>
      </c>
      <c r="N82" s="22">
        <v>293.02394403518747</v>
      </c>
      <c r="V82" s="29"/>
      <c r="W82" s="29"/>
      <c r="X82" s="29"/>
      <c r="Y82" s="29"/>
      <c r="Z82" s="29"/>
      <c r="AA82" s="29"/>
      <c r="AB82" s="29"/>
      <c r="AC82" s="29"/>
    </row>
    <row r="83" spans="2:29" x14ac:dyDescent="0.25">
      <c r="B83" s="37">
        <v>79</v>
      </c>
      <c r="D83" s="9">
        <v>6.8807270132518035</v>
      </c>
      <c r="E83" s="9">
        <v>7.1397961808174584</v>
      </c>
      <c r="F83" s="9">
        <v>886.64211886810574</v>
      </c>
      <c r="G83" s="9">
        <v>920.02545688186785</v>
      </c>
      <c r="H83" s="9">
        <v>1232.2339777161408</v>
      </c>
      <c r="I83" s="24"/>
      <c r="J83" s="9">
        <v>6.6588862157050723</v>
      </c>
      <c r="K83" s="9">
        <v>6.7416244994500127</v>
      </c>
      <c r="L83" s="22">
        <v>858.05598336099933</v>
      </c>
      <c r="M83" s="22">
        <v>868.71753802954515</v>
      </c>
      <c r="N83" s="22">
        <v>296.75962454447216</v>
      </c>
      <c r="V83" s="29"/>
      <c r="W83" s="29"/>
      <c r="X83" s="29"/>
      <c r="Y83" s="29"/>
      <c r="Z83" s="29"/>
      <c r="AA83" s="29"/>
      <c r="AB83" s="29"/>
      <c r="AC83" s="29"/>
    </row>
    <row r="84" spans="2:29" x14ac:dyDescent="0.25">
      <c r="B84" s="37">
        <v>80</v>
      </c>
      <c r="D84" s="9">
        <v>6.9568819161501292</v>
      </c>
      <c r="E84" s="9">
        <v>7.2193198206083338</v>
      </c>
      <c r="F84" s="9">
        <v>885.24965524482707</v>
      </c>
      <c r="G84" s="9">
        <v>918.64436673266641</v>
      </c>
      <c r="H84" s="9">
        <v>1248.2570039218251</v>
      </c>
      <c r="I84" s="24"/>
      <c r="J84" s="9">
        <v>6.7422801014903522</v>
      </c>
      <c r="K84" s="9">
        <v>6.8260691798323521</v>
      </c>
      <c r="L84" s="22">
        <v>857.94199288513403</v>
      </c>
      <c r="M84" s="22">
        <v>868.60398968334687</v>
      </c>
      <c r="N84" s="22">
        <v>300.52853774866298</v>
      </c>
      <c r="V84" s="29"/>
      <c r="W84" s="29"/>
      <c r="X84" s="29"/>
      <c r="Y84" s="29"/>
      <c r="Z84" s="29"/>
      <c r="AA84" s="29"/>
      <c r="AB84" s="29"/>
      <c r="AC84" s="29"/>
    </row>
    <row r="85" spans="2:29" x14ac:dyDescent="0.25">
      <c r="B85" s="37">
        <v>81</v>
      </c>
      <c r="D85" s="9">
        <v>7.0330145080591624</v>
      </c>
      <c r="E85" s="9">
        <v>7.2988154504212686</v>
      </c>
      <c r="F85" s="9">
        <v>883.88876945928587</v>
      </c>
      <c r="G85" s="9">
        <v>917.29385736239533</v>
      </c>
      <c r="H85" s="9">
        <v>1264.2529235152954</v>
      </c>
      <c r="I85" s="24"/>
      <c r="J85" s="9">
        <v>6.828792982667248</v>
      </c>
      <c r="K85" s="9">
        <v>6.913638646522414</v>
      </c>
      <c r="L85" s="22">
        <v>858.22280324111421</v>
      </c>
      <c r="M85" s="22">
        <v>868.88595903767384</v>
      </c>
      <c r="N85" s="22">
        <v>304.31822138717001</v>
      </c>
      <c r="V85" s="29"/>
      <c r="W85" s="29"/>
      <c r="X85" s="29"/>
      <c r="Y85" s="29"/>
      <c r="Z85" s="29"/>
      <c r="AA85" s="29"/>
      <c r="AB85" s="29"/>
      <c r="AC85" s="29"/>
    </row>
    <row r="86" spans="2:29" x14ac:dyDescent="0.25">
      <c r="B86" s="37">
        <v>82</v>
      </c>
      <c r="D86" s="9">
        <v>7.1090369789647747</v>
      </c>
      <c r="E86" s="9">
        <v>7.3781724642874877</v>
      </c>
      <c r="F86" s="9">
        <v>882.54740509982435</v>
      </c>
      <c r="G86" s="9">
        <v>915.95907884616497</v>
      </c>
      <c r="H86" s="9">
        <v>1280.1133100476941</v>
      </c>
      <c r="I86" s="24"/>
      <c r="J86" s="9">
        <v>6.9108354300295769</v>
      </c>
      <c r="K86" s="9">
        <v>6.9967284139321446</v>
      </c>
      <c r="L86" s="22">
        <v>857.94178506758794</v>
      </c>
      <c r="M86" s="22">
        <v>868.60492133819582</v>
      </c>
      <c r="N86" s="22">
        <v>308.07467233077074</v>
      </c>
      <c r="V86" s="29"/>
      <c r="W86" s="29"/>
      <c r="X86" s="29"/>
      <c r="Y86" s="29"/>
      <c r="Z86" s="29"/>
      <c r="AA86" s="29"/>
      <c r="AB86" s="29"/>
      <c r="AC86" s="29"/>
    </row>
    <row r="87" spans="2:29" x14ac:dyDescent="0.25">
      <c r="B87" s="37">
        <v>83</v>
      </c>
      <c r="D87" s="9">
        <v>7.1855728301646504</v>
      </c>
      <c r="E87" s="9">
        <v>7.458176214782549</v>
      </c>
      <c r="F87" s="9">
        <v>881.30132821037978</v>
      </c>
      <c r="G87" s="9">
        <v>914.73578508901028</v>
      </c>
      <c r="H87" s="9">
        <v>1296.6079913058979</v>
      </c>
      <c r="I87" s="24"/>
      <c r="J87" s="9">
        <v>6.9937334896134784</v>
      </c>
      <c r="K87" s="9">
        <v>7.0806830590292176</v>
      </c>
      <c r="L87" s="22">
        <v>857.77247816226497</v>
      </c>
      <c r="M87" s="22">
        <v>868.43673177496635</v>
      </c>
      <c r="N87" s="22">
        <v>311.86435596927731</v>
      </c>
      <c r="V87" s="29"/>
      <c r="W87" s="29"/>
      <c r="X87" s="29"/>
      <c r="Y87" s="29"/>
      <c r="Z87" s="29"/>
      <c r="AA87" s="29"/>
      <c r="AB87" s="29"/>
      <c r="AC87" s="29"/>
    </row>
    <row r="88" spans="2:29" x14ac:dyDescent="0.25">
      <c r="B88" s="37">
        <v>84</v>
      </c>
      <c r="D88" s="9">
        <v>7.2615946175155424</v>
      </c>
      <c r="E88" s="9">
        <v>7.5375325450940487</v>
      </c>
      <c r="F88" s="9">
        <v>880.02262113053041</v>
      </c>
      <c r="G88" s="9">
        <v>913.46315741593992</v>
      </c>
      <c r="H88" s="9">
        <v>1312.4683778382994</v>
      </c>
      <c r="I88" s="24"/>
      <c r="J88" s="9">
        <v>7.0785206481095022</v>
      </c>
      <c r="K88" s="9">
        <v>7.166521012122308</v>
      </c>
      <c r="L88" s="22">
        <v>857.83613966145117</v>
      </c>
      <c r="M88" s="22">
        <v>868.50078221973899</v>
      </c>
      <c r="N88" s="22">
        <v>315.63326917346842</v>
      </c>
      <c r="V88" s="29"/>
      <c r="W88" s="29"/>
      <c r="X88" s="29"/>
      <c r="Y88" s="29"/>
      <c r="Z88" s="29"/>
      <c r="AA88" s="29"/>
      <c r="AB88" s="29"/>
      <c r="AC88" s="29"/>
    </row>
    <row r="89" spans="2:29" x14ac:dyDescent="0.25">
      <c r="B89" s="37">
        <v>85</v>
      </c>
      <c r="D89" s="9">
        <v>7.3386786431188229</v>
      </c>
      <c r="E89" s="9">
        <v>7.6182269447089404</v>
      </c>
      <c r="F89" s="9">
        <v>878.90121797806103</v>
      </c>
      <c r="G89" s="9">
        <v>912.38072494375035</v>
      </c>
      <c r="H89" s="9">
        <v>1329.6407244018453</v>
      </c>
      <c r="I89" s="24"/>
      <c r="J89" s="9">
        <v>7.1531083300694522</v>
      </c>
      <c r="K89" s="9">
        <v>7.2421502232135602</v>
      </c>
      <c r="L89" s="22">
        <v>856.67678465823008</v>
      </c>
      <c r="M89" s="22">
        <v>867.34069735166963</v>
      </c>
      <c r="N89" s="22">
        <v>319.36894968275288</v>
      </c>
      <c r="V89" s="29"/>
      <c r="W89" s="29"/>
      <c r="X89" s="29"/>
      <c r="Y89" s="29"/>
      <c r="Z89" s="29"/>
      <c r="AA89" s="29"/>
      <c r="AB89" s="29"/>
      <c r="AC89" s="29"/>
    </row>
    <row r="90" spans="2:29" x14ac:dyDescent="0.25">
      <c r="B90" s="37">
        <v>86</v>
      </c>
      <c r="D90" s="9">
        <v>7.4146997683483704</v>
      </c>
      <c r="E90" s="9">
        <v>7.6975826128990992</v>
      </c>
      <c r="F90" s="9">
        <v>877.68007815518888</v>
      </c>
      <c r="G90" s="9">
        <v>911.16499930788314</v>
      </c>
      <c r="H90" s="9">
        <v>1345.501110934247</v>
      </c>
      <c r="I90" s="24"/>
      <c r="J90" s="9">
        <v>7.2415773799866816</v>
      </c>
      <c r="K90" s="9">
        <v>7.3316758586439565</v>
      </c>
      <c r="L90" s="22">
        <v>857.18753279329542</v>
      </c>
      <c r="M90" s="22">
        <v>867.85251482360559</v>
      </c>
      <c r="N90" s="22">
        <v>323.158633321259</v>
      </c>
    </row>
    <row r="91" spans="2:29" x14ac:dyDescent="0.25">
      <c r="B91" s="37">
        <v>87</v>
      </c>
      <c r="D91" s="9">
        <v>7.4902814944890856</v>
      </c>
      <c r="E91" s="9">
        <v>7.7763849022272833</v>
      </c>
      <c r="F91" s="9">
        <v>876.4355965562379</v>
      </c>
      <c r="G91" s="9">
        <v>909.9124706927156</v>
      </c>
      <c r="H91" s="9">
        <v>1360.8193652223713</v>
      </c>
      <c r="I91" s="24"/>
      <c r="J91" s="9">
        <v>7.3244523618498256</v>
      </c>
      <c r="K91" s="9">
        <v>7.415598160554504</v>
      </c>
      <c r="L91" s="22">
        <v>857.03197936267509</v>
      </c>
      <c r="M91" s="22">
        <v>867.69692199802239</v>
      </c>
      <c r="N91" s="22">
        <v>326.91508426486052</v>
      </c>
    </row>
    <row r="92" spans="2:29" x14ac:dyDescent="0.25">
      <c r="B92" s="37">
        <v>88</v>
      </c>
      <c r="D92" s="9">
        <v>7.5666839781772657</v>
      </c>
      <c r="E92" s="9">
        <v>7.8562210912787034</v>
      </c>
      <c r="F92" s="9">
        <v>875.31434390010224</v>
      </c>
      <c r="G92" s="9">
        <v>908.80801020360298</v>
      </c>
      <c r="H92" s="9">
        <v>1377.1514068072918</v>
      </c>
      <c r="I92" s="24"/>
      <c r="J92" s="9">
        <v>7.4087649988047639</v>
      </c>
      <c r="K92" s="9">
        <v>7.5009673830226067</v>
      </c>
      <c r="L92" s="22">
        <v>857.0462692431621</v>
      </c>
      <c r="M92" s="22">
        <v>867.71224520838371</v>
      </c>
      <c r="N92" s="22">
        <v>330.7047679033675</v>
      </c>
    </row>
    <row r="93" spans="2:29" x14ac:dyDescent="0.25">
      <c r="B93" s="37">
        <v>89</v>
      </c>
      <c r="D93" s="9">
        <v>7.6433847197243274</v>
      </c>
      <c r="E93" s="9">
        <v>7.9364330444347448</v>
      </c>
      <c r="F93" s="9">
        <v>874.25240274709404</v>
      </c>
      <c r="G93" s="9">
        <v>907.77134905081141</v>
      </c>
      <c r="H93" s="9">
        <v>1393.8520983183189</v>
      </c>
      <c r="I93" s="24"/>
      <c r="J93" s="9">
        <v>7.494041577328117</v>
      </c>
      <c r="K93" s="9">
        <v>7.5873092334332748</v>
      </c>
      <c r="L93" s="22">
        <v>857.17049389894214</v>
      </c>
      <c r="M93" s="22">
        <v>867.83847352295675</v>
      </c>
      <c r="N93" s="22">
        <v>334.52560719334753</v>
      </c>
    </row>
    <row r="94" spans="2:29" x14ac:dyDescent="0.25">
      <c r="B94" s="37">
        <v>90</v>
      </c>
      <c r="D94" s="9">
        <v>7.7188557431355855</v>
      </c>
      <c r="E94" s="9">
        <v>8.0150961360901878</v>
      </c>
      <c r="F94" s="9">
        <v>873.07496763361075</v>
      </c>
      <c r="G94" s="9">
        <v>906.58253405245694</v>
      </c>
      <c r="H94" s="9">
        <v>1409.0348195453782</v>
      </c>
      <c r="I94" s="24"/>
      <c r="J94" s="9">
        <v>7.5824748112862252</v>
      </c>
      <c r="K94" s="9">
        <v>7.6767955783548949</v>
      </c>
      <c r="L94" s="22">
        <v>857.64900533782463</v>
      </c>
      <c r="M94" s="22">
        <v>868.3175685803609</v>
      </c>
      <c r="N94" s="22">
        <v>338.30282857126497</v>
      </c>
    </row>
    <row r="95" spans="2:29" x14ac:dyDescent="0.25">
      <c r="B95" s="37">
        <v>91</v>
      </c>
      <c r="D95" s="9">
        <v>7.7959378664813483</v>
      </c>
      <c r="E95" s="9">
        <v>8.0957886334475599</v>
      </c>
      <c r="F95" s="9">
        <v>872.10363819242707</v>
      </c>
      <c r="G95" s="9">
        <v>905.6468692012769</v>
      </c>
      <c r="H95" s="9">
        <v>1426.2071661089244</v>
      </c>
      <c r="I95" s="24"/>
      <c r="J95" s="9">
        <v>7.6562569491999746</v>
      </c>
      <c r="K95" s="9">
        <v>7.751616929033502</v>
      </c>
      <c r="L95" s="22">
        <v>856.47803441858355</v>
      </c>
      <c r="M95" s="22">
        <v>867.14561371117111</v>
      </c>
      <c r="N95" s="22">
        <v>342.03020090682304</v>
      </c>
    </row>
    <row r="96" spans="2:29" x14ac:dyDescent="0.25">
      <c r="B96" s="37">
        <v>92</v>
      </c>
      <c r="D96" s="9">
        <v>7.8719571320842139</v>
      </c>
      <c r="E96" s="9">
        <v>8.1751424420110297</v>
      </c>
      <c r="F96" s="9">
        <v>871.0358188914397</v>
      </c>
      <c r="G96" s="9">
        <v>904.58341833549798</v>
      </c>
      <c r="H96" s="9">
        <v>1442.0675526413261</v>
      </c>
      <c r="I96" s="24"/>
      <c r="J96" s="9">
        <v>7.7492548151455969</v>
      </c>
      <c r="K96" s="9">
        <v>7.8456858577825423</v>
      </c>
      <c r="L96" s="22">
        <v>857.45874887934622</v>
      </c>
      <c r="M96" s="22">
        <v>868.1288898341902</v>
      </c>
      <c r="N96" s="22">
        <v>345.8718106311199</v>
      </c>
    </row>
    <row r="97" spans="2:14" x14ac:dyDescent="0.25">
      <c r="B97" s="37">
        <v>93</v>
      </c>
      <c r="D97" s="9">
        <v>7.9480858724707071</v>
      </c>
      <c r="E97" s="9">
        <v>8.2546342203014227</v>
      </c>
      <c r="F97" s="9">
        <v>870.00294663150476</v>
      </c>
      <c r="G97" s="9">
        <v>903.55793964202155</v>
      </c>
      <c r="H97" s="9">
        <v>1458.0634722347959</v>
      </c>
      <c r="I97" s="24"/>
      <c r="J97" s="9">
        <v>7.8294245960297868</v>
      </c>
      <c r="K97" s="9">
        <v>7.9269029587141393</v>
      </c>
      <c r="L97" s="22">
        <v>857.01420169201845</v>
      </c>
      <c r="M97" s="22">
        <v>867.68425032120365</v>
      </c>
      <c r="N97" s="22">
        <v>349.62826157472142</v>
      </c>
    </row>
    <row r="98" spans="2:14" x14ac:dyDescent="0.25">
      <c r="B98" s="37">
        <v>94</v>
      </c>
      <c r="D98" s="9">
        <v>8.0246182687805767</v>
      </c>
      <c r="E98" s="9">
        <v>8.3346345159064814</v>
      </c>
      <c r="F98" s="9">
        <v>869.03576478473087</v>
      </c>
      <c r="G98" s="9">
        <v>902.60935014328948</v>
      </c>
      <c r="H98" s="9">
        <v>1474.5581534929966</v>
      </c>
      <c r="I98" s="24"/>
      <c r="J98" s="9">
        <v>7.9123750303973885</v>
      </c>
      <c r="K98" s="9">
        <v>8.0109099785949045</v>
      </c>
      <c r="L98" s="22">
        <v>856.88024719584598</v>
      </c>
      <c r="M98" s="22">
        <v>867.55120887859584</v>
      </c>
      <c r="N98" s="22">
        <v>353.41794521322748</v>
      </c>
    </row>
    <row r="99" spans="2:14" x14ac:dyDescent="0.25">
      <c r="B99" s="37">
        <v>95</v>
      </c>
      <c r="D99" s="9">
        <v>8.1006366665992893</v>
      </c>
      <c r="E99" s="9">
        <v>8.4139874566858062</v>
      </c>
      <c r="F99" s="9">
        <v>868.03386650904235</v>
      </c>
      <c r="G99" s="9">
        <v>901.61136283275425</v>
      </c>
      <c r="H99" s="9">
        <v>1490.418540025398</v>
      </c>
      <c r="I99" s="24"/>
      <c r="J99" s="9">
        <v>8.0016967956127907</v>
      </c>
      <c r="K99" s="9">
        <v>8.1012970156976287</v>
      </c>
      <c r="L99" s="22">
        <v>857.43184073020086</v>
      </c>
      <c r="M99" s="22">
        <v>868.10462704363601</v>
      </c>
      <c r="N99" s="22">
        <v>357.23878450320848</v>
      </c>
    </row>
    <row r="100" spans="2:14" x14ac:dyDescent="0.25">
      <c r="B100" s="37">
        <v>96</v>
      </c>
      <c r="D100" s="9">
        <v>8.1773353409709948</v>
      </c>
      <c r="E100" s="9">
        <v>8.4941973426664834</v>
      </c>
      <c r="F100" s="9">
        <v>867.12497766790409</v>
      </c>
      <c r="G100" s="9">
        <v>900.72503742910521</v>
      </c>
      <c r="H100" s="9">
        <v>1507.1192315364253</v>
      </c>
      <c r="I100" s="24"/>
      <c r="J100" s="9">
        <v>8.0833156138292956</v>
      </c>
      <c r="K100" s="9">
        <v>8.183968944877634</v>
      </c>
      <c r="L100" s="22">
        <v>857.15512191432947</v>
      </c>
      <c r="M100" s="22">
        <v>867.82840530044632</v>
      </c>
      <c r="N100" s="22">
        <v>361.01600588112598</v>
      </c>
    </row>
    <row r="101" spans="2:14" x14ac:dyDescent="0.25">
      <c r="B101" s="37">
        <v>97</v>
      </c>
      <c r="D101" s="9">
        <v>8.2531863346297758</v>
      </c>
      <c r="E101" s="9">
        <v>8.5733395669720824</v>
      </c>
      <c r="F101" s="9">
        <v>866.14586738644493</v>
      </c>
      <c r="G101" s="9">
        <v>899.74493905167242</v>
      </c>
      <c r="H101" s="9">
        <v>1522.7736078160026</v>
      </c>
      <c r="I101" s="24"/>
      <c r="J101" s="9">
        <v>8.163988584350804</v>
      </c>
      <c r="K101" s="9">
        <v>8.2656811281640081</v>
      </c>
      <c r="L101" s="22">
        <v>856.78484490957089</v>
      </c>
      <c r="M101" s="22">
        <v>867.4571565473492</v>
      </c>
      <c r="N101" s="22">
        <v>364.74337821668399</v>
      </c>
    </row>
    <row r="102" spans="2:14" x14ac:dyDescent="0.25">
      <c r="B102" s="37">
        <v>98</v>
      </c>
      <c r="D102" s="9">
        <v>8.3293136687922544</v>
      </c>
      <c r="E102" s="9">
        <v>8.6528299390384618</v>
      </c>
      <c r="F102" s="9">
        <v>865.21544408226134</v>
      </c>
      <c r="G102" s="9">
        <v>898.8210068644222</v>
      </c>
      <c r="H102" s="9">
        <v>1538.7695274094733</v>
      </c>
      <c r="I102" s="24"/>
      <c r="J102" s="9">
        <v>8.2549713271245171</v>
      </c>
      <c r="K102" s="9">
        <v>8.3577349337411366</v>
      </c>
      <c r="L102" s="22">
        <v>857.49306205681739</v>
      </c>
      <c r="M102" s="22">
        <v>868.16773023115024</v>
      </c>
      <c r="N102" s="22">
        <v>368.58498794098102</v>
      </c>
    </row>
    <row r="103" spans="2:14" x14ac:dyDescent="0.25">
      <c r="B103" s="37">
        <v>99</v>
      </c>
      <c r="D103" s="9">
        <v>8.4057129549203342</v>
      </c>
      <c r="E103" s="9">
        <v>8.7326629305297825</v>
      </c>
      <c r="F103" s="9">
        <v>864.33178113348515</v>
      </c>
      <c r="G103" s="9">
        <v>897.95097040102314</v>
      </c>
      <c r="H103" s="9">
        <v>1555.1015689943936</v>
      </c>
      <c r="I103" s="24"/>
      <c r="J103" s="9">
        <v>8.333037995986917</v>
      </c>
      <c r="K103" s="9">
        <v>8.4368489226509418</v>
      </c>
      <c r="L103" s="22">
        <v>856.85885444236419</v>
      </c>
      <c r="M103" s="22">
        <v>867.53339015704307</v>
      </c>
      <c r="N103" s="22">
        <v>372.34143888458232</v>
      </c>
    </row>
    <row r="104" spans="2:14" x14ac:dyDescent="0.25">
      <c r="B104" s="37">
        <v>100</v>
      </c>
      <c r="D104" s="9">
        <v>8.4824105389596554</v>
      </c>
      <c r="E104" s="9">
        <v>8.8128717261780753</v>
      </c>
      <c r="F104" s="9">
        <v>863.49615770561286</v>
      </c>
      <c r="G104" s="9">
        <v>897.13659094370257</v>
      </c>
      <c r="H104" s="9">
        <v>1571.8022605054205</v>
      </c>
      <c r="I104" s="24"/>
      <c r="J104" s="9">
        <v>8.4173464623986316</v>
      </c>
      <c r="K104" s="9">
        <v>8.5222139745758252</v>
      </c>
      <c r="L104" s="22">
        <v>856.87273623160354</v>
      </c>
      <c r="M104" s="22">
        <v>867.54808534577865</v>
      </c>
      <c r="N104" s="22">
        <v>376.13112252308832</v>
      </c>
    </row>
    <row r="105" spans="2:14" x14ac:dyDescent="0.25">
      <c r="B105" s="37">
        <v>101</v>
      </c>
      <c r="D105" s="9">
        <v>8.5578784780941763</v>
      </c>
      <c r="E105" s="9">
        <v>8.8915317335567821</v>
      </c>
      <c r="F105" s="9">
        <v>862.55314470929659</v>
      </c>
      <c r="G105" s="9">
        <v>896.1822346149828</v>
      </c>
      <c r="H105" s="9">
        <v>1586.9849817324771</v>
      </c>
      <c r="I105" s="24"/>
      <c r="J105" s="9">
        <v>8.5127992240628707</v>
      </c>
      <c r="K105" s="9">
        <v>8.6187377990434797</v>
      </c>
      <c r="L105" s="22">
        <v>858.00958260738298</v>
      </c>
      <c r="M105" s="22">
        <v>868.68718818795389</v>
      </c>
      <c r="N105" s="22">
        <v>379.97273224738541</v>
      </c>
    </row>
    <row r="106" spans="2:14" x14ac:dyDescent="0.25">
      <c r="B106" s="37">
        <v>102</v>
      </c>
      <c r="D106" s="9">
        <v>8.6349575251924673</v>
      </c>
      <c r="E106" s="9">
        <v>8.9722211546666877</v>
      </c>
      <c r="F106" s="9">
        <v>861.78941459221153</v>
      </c>
      <c r="G106" s="9">
        <v>895.44913149989316</v>
      </c>
      <c r="H106" s="9">
        <v>1604.1573282960233</v>
      </c>
      <c r="I106" s="24"/>
      <c r="J106" s="9">
        <v>8.5869176400280356</v>
      </c>
      <c r="K106" s="9">
        <v>8.6939035350560534</v>
      </c>
      <c r="L106" s="22">
        <v>856.99491914829673</v>
      </c>
      <c r="M106" s="22">
        <v>867.67236736698544</v>
      </c>
      <c r="N106" s="22">
        <v>383.72918319098682</v>
      </c>
    </row>
    <row r="107" spans="2:14" x14ac:dyDescent="0.25">
      <c r="B107" s="37">
        <v>103</v>
      </c>
      <c r="D107" s="9">
        <v>8.7116543288725694</v>
      </c>
      <c r="E107" s="9">
        <v>9.0524291699557562</v>
      </c>
      <c r="F107" s="9">
        <v>861.00273575550216</v>
      </c>
      <c r="G107" s="9">
        <v>894.68268440507654</v>
      </c>
      <c r="H107" s="9">
        <v>1620.8580198070499</v>
      </c>
      <c r="I107" s="24"/>
      <c r="J107" s="9">
        <v>8.6712197615267002</v>
      </c>
      <c r="K107" s="9">
        <v>8.779262242067885</v>
      </c>
      <c r="L107" s="22">
        <v>857.00644850745323</v>
      </c>
      <c r="M107" s="22">
        <v>867.68465815765296</v>
      </c>
      <c r="N107" s="22">
        <v>387.51886682949367</v>
      </c>
    </row>
    <row r="108" spans="2:14" x14ac:dyDescent="0.25">
      <c r="B108" s="37">
        <v>104</v>
      </c>
      <c r="D108" s="9">
        <v>8.7865507251740897</v>
      </c>
      <c r="E108" s="9">
        <v>9.1303694607963841</v>
      </c>
      <c r="F108" s="9">
        <v>860.05495587531379</v>
      </c>
      <c r="G108" s="9">
        <v>893.70900474428902</v>
      </c>
      <c r="H108" s="9">
        <v>1635.3359691165492</v>
      </c>
      <c r="I108" s="24"/>
      <c r="J108" s="9">
        <v>8.7625241500112594</v>
      </c>
      <c r="K108" s="9">
        <v>8.8716203206075583</v>
      </c>
      <c r="L108" s="22">
        <v>857.70315985343484</v>
      </c>
      <c r="M108" s="22">
        <v>868.38183287577783</v>
      </c>
      <c r="N108" s="22">
        <v>391.29816525084192</v>
      </c>
    </row>
    <row r="109" spans="2:14" x14ac:dyDescent="0.25">
      <c r="B109" s="37">
        <v>105</v>
      </c>
      <c r="D109" s="9">
        <v>8.8636290111660365</v>
      </c>
      <c r="E109" s="9">
        <v>9.2110581207999367</v>
      </c>
      <c r="F109" s="9">
        <v>859.33676510338478</v>
      </c>
      <c r="G109" s="9">
        <v>893.02032821274247</v>
      </c>
      <c r="H109" s="9">
        <v>1652.5083156800981</v>
      </c>
      <c r="I109" s="24"/>
      <c r="J109" s="9">
        <v>8.8402002400269666</v>
      </c>
      <c r="K109" s="9">
        <v>8.9503495215867694</v>
      </c>
      <c r="L109" s="22">
        <v>857.06532477396286</v>
      </c>
      <c r="M109" s="22">
        <v>867.74439619886357</v>
      </c>
      <c r="N109" s="22">
        <v>395.07538662875925</v>
      </c>
    </row>
    <row r="110" spans="2:14" x14ac:dyDescent="0.25">
      <c r="B110" s="37">
        <v>106</v>
      </c>
      <c r="D110" s="9">
        <v>8.9396445228579111</v>
      </c>
      <c r="E110" s="9">
        <v>9.2904081754524324</v>
      </c>
      <c r="F110" s="9">
        <v>858.53006022763054</v>
      </c>
      <c r="G110" s="9">
        <v>892.21609092131689</v>
      </c>
      <c r="H110" s="9">
        <v>1668.3687022124998</v>
      </c>
      <c r="I110" s="24"/>
      <c r="J110" s="9">
        <v>8.9293989580429987</v>
      </c>
      <c r="K110" s="9">
        <v>9.0406135114901236</v>
      </c>
      <c r="L110" s="22">
        <v>857.54611446165256</v>
      </c>
      <c r="M110" s="22">
        <v>868.22674466176989</v>
      </c>
      <c r="N110" s="22">
        <v>398.89622591874019</v>
      </c>
    </row>
    <row r="111" spans="2:14" x14ac:dyDescent="0.25">
      <c r="B111" s="37">
        <v>107</v>
      </c>
      <c r="D111" s="9">
        <v>9.0167223161477725</v>
      </c>
      <c r="E111" s="9">
        <v>9.3710963427538871</v>
      </c>
      <c r="F111" s="9">
        <v>857.83949806842293</v>
      </c>
      <c r="G111" s="9">
        <v>891.55419243888821</v>
      </c>
      <c r="H111" s="9">
        <v>1685.5410487760457</v>
      </c>
      <c r="I111" s="24"/>
      <c r="J111" s="9">
        <v>9.0097261751182831</v>
      </c>
      <c r="K111" s="9">
        <v>9.1219973140785715</v>
      </c>
      <c r="L111" s="22">
        <v>857.17389410517285</v>
      </c>
      <c r="M111" s="22">
        <v>867.85522753392718</v>
      </c>
      <c r="N111" s="22">
        <v>402.6859095572463</v>
      </c>
    </row>
    <row r="112" spans="2:14" x14ac:dyDescent="0.25">
      <c r="B112" s="37">
        <v>108</v>
      </c>
      <c r="D112" s="9">
        <v>9.0921885229538315</v>
      </c>
      <c r="E112" s="9">
        <v>9.4497546178041425</v>
      </c>
      <c r="F112" s="9">
        <v>857.00981947745811</v>
      </c>
      <c r="G112" s="9">
        <v>890.71321812843223</v>
      </c>
      <c r="H112" s="9">
        <v>1700.7237700031014</v>
      </c>
      <c r="I112" s="24"/>
      <c r="J112" s="9">
        <v>9.094500129906633</v>
      </c>
      <c r="K112" s="9">
        <v>9.2078185889143214</v>
      </c>
      <c r="L112" s="22">
        <v>857.22770649688403</v>
      </c>
      <c r="M112" s="22">
        <v>867.90885678896916</v>
      </c>
      <c r="N112" s="22">
        <v>406.44236050084777</v>
      </c>
    </row>
    <row r="113" spans="2:14" x14ac:dyDescent="0.25">
      <c r="B113" s="37">
        <v>109</v>
      </c>
      <c r="D113" s="9">
        <v>9.1688838570585247</v>
      </c>
      <c r="E113" s="9">
        <v>9.5299611635178092</v>
      </c>
      <c r="F113" s="9">
        <v>856.31015631126854</v>
      </c>
      <c r="G113" s="9">
        <v>890.03227228033199</v>
      </c>
      <c r="H113" s="9">
        <v>1717.4244615141292</v>
      </c>
      <c r="I113" s="24"/>
      <c r="J113" s="9">
        <v>9.183200173235166</v>
      </c>
      <c r="K113" s="9">
        <v>9.2975896950462751</v>
      </c>
      <c r="L113" s="22">
        <v>857.64720094332415</v>
      </c>
      <c r="M113" s="22">
        <v>868.3303888677774</v>
      </c>
      <c r="N113" s="22">
        <v>410.28397022514457</v>
      </c>
    </row>
    <row r="114" spans="2:14" x14ac:dyDescent="0.25">
      <c r="B114" s="37">
        <v>110</v>
      </c>
      <c r="D114" s="9">
        <v>9.2447096240582134</v>
      </c>
      <c r="E114" s="9">
        <v>9.6090724621756696</v>
      </c>
      <c r="F114" s="9">
        <v>855.54274104401122</v>
      </c>
      <c r="G114" s="9">
        <v>889.26234868277902</v>
      </c>
      <c r="H114" s="9">
        <v>1733.051731181492</v>
      </c>
      <c r="I114" s="24"/>
      <c r="J114" s="9">
        <v>9.2634439553881958</v>
      </c>
      <c r="K114" s="9">
        <v>9.3788726899641759</v>
      </c>
      <c r="L114" s="22">
        <v>857.27649167864115</v>
      </c>
      <c r="M114" s="22">
        <v>867.95873265648424</v>
      </c>
      <c r="N114" s="22">
        <v>414.0113425607027</v>
      </c>
    </row>
    <row r="115" spans="2:14" x14ac:dyDescent="0.25">
      <c r="B115" s="37">
        <v>111</v>
      </c>
      <c r="D115" s="9">
        <v>9.3214044920742527</v>
      </c>
      <c r="E115" s="9">
        <v>9.6892785418006753</v>
      </c>
      <c r="F115" s="9">
        <v>854.86885859904737</v>
      </c>
      <c r="G115" s="9">
        <v>888.60670028001221</v>
      </c>
      <c r="H115" s="9">
        <v>1749.7524226925193</v>
      </c>
      <c r="I115" s="24"/>
      <c r="J115" s="9">
        <v>9.3451278254987482</v>
      </c>
      <c r="K115" s="9">
        <v>9.4616096710382305</v>
      </c>
      <c r="L115" s="22">
        <v>857.04453276746335</v>
      </c>
      <c r="M115" s="22">
        <v>867.72711846884727</v>
      </c>
      <c r="N115" s="22">
        <v>417.78856393862026</v>
      </c>
    </row>
    <row r="116" spans="2:14" x14ac:dyDescent="0.25">
      <c r="B116" s="37">
        <v>112</v>
      </c>
      <c r="D116" s="9">
        <v>9.3979322895717647</v>
      </c>
      <c r="E116" s="9">
        <v>9.769274238593372</v>
      </c>
      <c r="F116" s="9">
        <v>854.19182448514994</v>
      </c>
      <c r="G116" s="9">
        <v>887.94363788080614</v>
      </c>
      <c r="H116" s="9">
        <v>1766.2471039507232</v>
      </c>
      <c r="I116" s="24"/>
      <c r="J116" s="9">
        <v>9.4325090329219616</v>
      </c>
      <c r="K116" s="9">
        <v>9.5500619412648593</v>
      </c>
      <c r="L116" s="22">
        <v>857.33455530901779</v>
      </c>
      <c r="M116" s="22">
        <v>868.01911124717617</v>
      </c>
      <c r="N116" s="22">
        <v>421.63017366291706</v>
      </c>
    </row>
    <row r="117" spans="2:14" x14ac:dyDescent="0.25">
      <c r="B117" s="37">
        <v>113</v>
      </c>
      <c r="D117" s="9">
        <v>9.4739461678727199</v>
      </c>
      <c r="E117" s="9">
        <v>9.8486226598549393</v>
      </c>
      <c r="F117" s="9">
        <v>853.4804757782789</v>
      </c>
      <c r="G117" s="9">
        <v>887.23399991422241</v>
      </c>
      <c r="H117" s="9">
        <v>1782.1074904831244</v>
      </c>
      <c r="I117" s="24"/>
      <c r="J117" s="9">
        <v>9.5172539985527074</v>
      </c>
      <c r="K117" s="9">
        <v>9.6358577014926681</v>
      </c>
      <c r="L117" s="22">
        <v>857.38195329131622</v>
      </c>
      <c r="M117" s="22">
        <v>868.06661869056995</v>
      </c>
      <c r="N117" s="22">
        <v>425.39908686710743</v>
      </c>
    </row>
    <row r="118" spans="2:14" x14ac:dyDescent="0.25">
      <c r="B118" s="37">
        <v>114</v>
      </c>
      <c r="D118" s="9">
        <v>9.5506403564505575</v>
      </c>
      <c r="E118" s="9">
        <v>9.928828060041754</v>
      </c>
      <c r="F118" s="9">
        <v>852.84235645634715</v>
      </c>
      <c r="G118" s="9">
        <v>886.61333727813974</v>
      </c>
      <c r="H118" s="9">
        <v>1798.8081819941517</v>
      </c>
      <c r="I118" s="24"/>
      <c r="J118" s="9">
        <v>9.6033256035122747</v>
      </c>
      <c r="K118" s="9">
        <v>9.7229968947059895</v>
      </c>
      <c r="L118" s="22">
        <v>857.54698447893327</v>
      </c>
      <c r="M118" s="22">
        <v>868.23325704000717</v>
      </c>
      <c r="N118" s="22">
        <v>429.22823433081504</v>
      </c>
    </row>
    <row r="119" spans="2:14" x14ac:dyDescent="0.25">
      <c r="B119" s="37">
        <v>115</v>
      </c>
      <c r="D119" s="9">
        <v>9.6264869530496195</v>
      </c>
      <c r="E119" s="9">
        <v>10.007965887287634</v>
      </c>
      <c r="F119" s="9">
        <v>852.14030569572287</v>
      </c>
      <c r="G119" s="9">
        <v>885.9089668099499</v>
      </c>
      <c r="H119" s="9">
        <v>1814.4625582737267</v>
      </c>
      <c r="I119" s="24"/>
      <c r="J119" s="9">
        <v>9.6867655160236481</v>
      </c>
      <c r="K119" s="9">
        <v>9.8074876018144401</v>
      </c>
      <c r="L119" s="22">
        <v>857.47618713721977</v>
      </c>
      <c r="M119" s="22">
        <v>868.16255232856304</v>
      </c>
      <c r="N119" s="22">
        <v>432.99714753500558</v>
      </c>
    </row>
    <row r="120" spans="2:14" x14ac:dyDescent="0.25">
      <c r="B120" s="37">
        <v>116</v>
      </c>
      <c r="D120" s="9">
        <v>9.7026099360071427</v>
      </c>
      <c r="E120" s="9">
        <v>10.087451908149053</v>
      </c>
      <c r="F120" s="9">
        <v>851.47461417238787</v>
      </c>
      <c r="G120" s="9">
        <v>885.24729718325648</v>
      </c>
      <c r="H120" s="9">
        <v>1830.4584778671972</v>
      </c>
      <c r="I120" s="24"/>
      <c r="J120" s="9">
        <v>9.7731252082532052</v>
      </c>
      <c r="K120" s="9">
        <v>9.8949038795571571</v>
      </c>
      <c r="L120" s="22">
        <v>857.66284235274134</v>
      </c>
      <c r="M120" s="22">
        <v>868.34980677229942</v>
      </c>
      <c r="N120" s="22">
        <v>436.78683117351147</v>
      </c>
    </row>
    <row r="121" spans="2:14" x14ac:dyDescent="0.25">
      <c r="B121" s="37">
        <v>117</v>
      </c>
      <c r="D121" s="9">
        <v>9.7786229419963355</v>
      </c>
      <c r="E121" s="9">
        <v>10.166799457098858</v>
      </c>
      <c r="F121" s="9">
        <v>850.81073320177904</v>
      </c>
      <c r="G121" s="9">
        <v>884.58489009330799</v>
      </c>
      <c r="H121" s="9">
        <v>1846.3188643995982</v>
      </c>
      <c r="I121" s="24"/>
      <c r="J121" s="9">
        <v>9.8570133504281117</v>
      </c>
      <c r="K121" s="9">
        <v>9.9798422372375164</v>
      </c>
      <c r="L121" s="22">
        <v>857.63126419775278</v>
      </c>
      <c r="M121" s="22">
        <v>868.31826336568804</v>
      </c>
      <c r="N121" s="22">
        <v>440.55366733427115</v>
      </c>
    </row>
    <row r="122" spans="2:14" x14ac:dyDescent="0.25">
      <c r="B122" s="37">
        <v>118</v>
      </c>
      <c r="D122" s="9">
        <v>9.8556982355890437</v>
      </c>
      <c r="E122" s="9">
        <v>10.247485124703179</v>
      </c>
      <c r="F122" s="9">
        <v>850.249747858251</v>
      </c>
      <c r="G122" s="9">
        <v>884.04914955670927</v>
      </c>
      <c r="H122" s="9">
        <v>1863.4912109631446</v>
      </c>
      <c r="I122" s="24"/>
      <c r="J122" s="9">
        <v>9.9374008340284998</v>
      </c>
      <c r="K122" s="9">
        <v>10.061286306351073</v>
      </c>
      <c r="L122" s="22">
        <v>857.29821992608095</v>
      </c>
      <c r="M122" s="22">
        <v>867.9858027931383</v>
      </c>
      <c r="N122" s="22">
        <v>444.34335097277813</v>
      </c>
    </row>
    <row r="123" spans="2:14" x14ac:dyDescent="0.25">
      <c r="B123" s="37">
        <v>119</v>
      </c>
      <c r="D123" s="9">
        <v>9.9318425331994717</v>
      </c>
      <c r="E123" s="9">
        <v>10.326998159206154</v>
      </c>
      <c r="F123" s="9">
        <v>849.6185488748182</v>
      </c>
      <c r="G123" s="9">
        <v>883.42210027278463</v>
      </c>
      <c r="H123" s="9">
        <v>1879.5142371688294</v>
      </c>
      <c r="I123" s="24"/>
      <c r="J123" s="9">
        <v>10.020843404843479</v>
      </c>
      <c r="K123" s="9">
        <v>10.145779671763119</v>
      </c>
      <c r="L123" s="22">
        <v>857.23212018970855</v>
      </c>
      <c r="M123" s="22">
        <v>867.91978156243727</v>
      </c>
      <c r="N123" s="22">
        <v>448.11226417696821</v>
      </c>
    </row>
    <row r="124" spans="2:14" x14ac:dyDescent="0.25">
      <c r="B124" s="37">
        <v>120</v>
      </c>
      <c r="D124" s="9">
        <v>10.008236880448568</v>
      </c>
      <c r="E124" s="9">
        <v>10.406826211818496</v>
      </c>
      <c r="F124" s="9">
        <v>849.01908209366093</v>
      </c>
      <c r="G124" s="9">
        <v>882.83222543693239</v>
      </c>
      <c r="H124" s="9">
        <v>1895.8462787537499</v>
      </c>
      <c r="I124" s="24"/>
      <c r="J124" s="9">
        <v>10.106904561593034</v>
      </c>
      <c r="K124" s="9">
        <v>10.232908416766437</v>
      </c>
      <c r="L124" s="22">
        <v>857.38926208422799</v>
      </c>
      <c r="M124" s="22">
        <v>868.0784252942409</v>
      </c>
      <c r="N124" s="22">
        <v>451.94141164067588</v>
      </c>
    </row>
    <row r="125" spans="2:14" x14ac:dyDescent="0.25">
      <c r="B125" s="37">
        <v>121</v>
      </c>
      <c r="D125" s="9">
        <v>10.084929573174067</v>
      </c>
      <c r="E125" s="9">
        <v>10.487030116152964</v>
      </c>
      <c r="F125" s="9">
        <v>848.45462394028129</v>
      </c>
      <c r="G125" s="9">
        <v>882.28372135776249</v>
      </c>
      <c r="H125" s="9">
        <v>1912.5469702647774</v>
      </c>
      <c r="I125" s="24"/>
      <c r="J125" s="9">
        <v>10.191186292340216</v>
      </c>
      <c r="K125" s="9">
        <v>10.318246733026774</v>
      </c>
      <c r="L125" s="22">
        <v>857.39410180644836</v>
      </c>
      <c r="M125" s="22">
        <v>868.08381635905789</v>
      </c>
      <c r="N125" s="22">
        <v>455.73109527918263</v>
      </c>
    </row>
    <row r="126" spans="2:14" x14ac:dyDescent="0.25">
      <c r="B126" s="37">
        <v>122</v>
      </c>
      <c r="D126" s="9">
        <v>10.160370780809936</v>
      </c>
      <c r="E126" s="9">
        <v>10.565657693044361</v>
      </c>
      <c r="F126" s="9">
        <v>847.79499360136356</v>
      </c>
      <c r="G126" s="9">
        <v>881.61267826829146</v>
      </c>
      <c r="H126" s="9">
        <v>1927.7025848796179</v>
      </c>
      <c r="I126" s="24"/>
      <c r="J126" s="9">
        <v>10.282288459328567</v>
      </c>
      <c r="K126" s="9">
        <v>10.410414171902447</v>
      </c>
      <c r="L126" s="22">
        <v>857.96796855566492</v>
      </c>
      <c r="M126" s="22">
        <v>868.65895021520271</v>
      </c>
      <c r="N126" s="22">
        <v>459.55193456916328</v>
      </c>
    </row>
    <row r="127" spans="2:14" x14ac:dyDescent="0.25">
      <c r="B127" s="37">
        <v>123</v>
      </c>
      <c r="D127" s="9">
        <v>10.23689623106814</v>
      </c>
      <c r="E127" s="9">
        <v>10.645651042597745</v>
      </c>
      <c r="F127" s="9">
        <v>847.23582408682068</v>
      </c>
      <c r="G127" s="9">
        <v>881.06558183553273</v>
      </c>
      <c r="H127" s="9">
        <v>1944.1972661378215</v>
      </c>
      <c r="I127" s="24"/>
      <c r="J127" s="9">
        <v>10.36012783906172</v>
      </c>
      <c r="K127" s="9">
        <v>10.489295080766906</v>
      </c>
      <c r="L127" s="22">
        <v>857.43483661906862</v>
      </c>
      <c r="M127" s="22">
        <v>868.12509976142508</v>
      </c>
      <c r="N127" s="22">
        <v>463.28761507844808</v>
      </c>
    </row>
    <row r="128" spans="2:14" x14ac:dyDescent="0.25">
      <c r="B128" s="37">
        <v>124</v>
      </c>
      <c r="D128" s="9">
        <v>10.312907799930413</v>
      </c>
      <c r="E128" s="9">
        <v>10.724997154420629</v>
      </c>
      <c r="F128" s="9">
        <v>846.64348607711474</v>
      </c>
      <c r="G128" s="9">
        <v>880.47417422340266</v>
      </c>
      <c r="H128" s="9">
        <v>1960.057652670223</v>
      </c>
      <c r="I128" s="24"/>
      <c r="J128" s="9">
        <v>10.444861126061019</v>
      </c>
      <c r="K128" s="9">
        <v>10.575079162363265</v>
      </c>
      <c r="L128" s="22">
        <v>857.47626245813126</v>
      </c>
      <c r="M128" s="22">
        <v>868.16657932548401</v>
      </c>
      <c r="N128" s="22">
        <v>467.05652828263823</v>
      </c>
    </row>
    <row r="129" spans="2:14" x14ac:dyDescent="0.25">
      <c r="B129" s="37">
        <v>125</v>
      </c>
      <c r="D129" s="9">
        <v>10.389981656726</v>
      </c>
      <c r="E129" s="9">
        <v>10.805681385227837</v>
      </c>
      <c r="F129" s="9">
        <v>846.1471368788574</v>
      </c>
      <c r="G129" s="9">
        <v>880.00120387284915</v>
      </c>
      <c r="H129" s="9">
        <v>1977.2299992337691</v>
      </c>
      <c r="I129" s="24"/>
      <c r="J129" s="9">
        <v>10.529589443874604</v>
      </c>
      <c r="K129" s="9">
        <v>10.660878542980271</v>
      </c>
      <c r="L129" s="22">
        <v>857.51662079948721</v>
      </c>
      <c r="M129" s="22">
        <v>868.20864114966253</v>
      </c>
      <c r="N129" s="22">
        <v>470.89813800693582</v>
      </c>
    </row>
    <row r="130" spans="2:14" x14ac:dyDescent="0.25">
      <c r="B130" s="37">
        <v>126</v>
      </c>
      <c r="D130" s="9">
        <v>10.466673348716155</v>
      </c>
      <c r="E130" s="9">
        <v>10.885884288826963</v>
      </c>
      <c r="F130" s="9">
        <v>845.62779022271616</v>
      </c>
      <c r="G130" s="9">
        <v>879.49685340185636</v>
      </c>
      <c r="H130" s="9">
        <v>1993.9306907447965</v>
      </c>
      <c r="I130" s="24"/>
      <c r="J130" s="9">
        <v>10.607933073684604</v>
      </c>
      <c r="K130" s="9">
        <v>10.74026949283768</v>
      </c>
      <c r="L130" s="22">
        <v>857.04050418566703</v>
      </c>
      <c r="M130" s="22">
        <v>867.73228274471887</v>
      </c>
      <c r="N130" s="22">
        <v>474.65458895053672</v>
      </c>
    </row>
    <row r="131" spans="2:14" x14ac:dyDescent="0.25">
      <c r="B131" s="37">
        <v>127</v>
      </c>
      <c r="D131" s="9">
        <v>10.542135531052608</v>
      </c>
      <c r="E131" s="9">
        <v>10.9645385394076</v>
      </c>
      <c r="F131" s="9">
        <v>845.01806936877006</v>
      </c>
      <c r="G131" s="9">
        <v>878.87631123677761</v>
      </c>
      <c r="H131" s="9">
        <v>2009.1134119718531</v>
      </c>
      <c r="I131" s="24"/>
      <c r="J131" s="9">
        <v>10.702900426140294</v>
      </c>
      <c r="K131" s="9">
        <v>10.836307908096789</v>
      </c>
      <c r="L131" s="22">
        <v>857.90438076830719</v>
      </c>
      <c r="M131" s="22">
        <v>868.59782447429711</v>
      </c>
      <c r="N131" s="22">
        <v>478.49619867483364</v>
      </c>
    </row>
    <row r="132" spans="2:14" x14ac:dyDescent="0.25">
      <c r="B132" s="37">
        <v>128</v>
      </c>
      <c r="D132" s="9">
        <v>10.618638051001788</v>
      </c>
      <c r="E132" s="9">
        <v>11.044503259663301</v>
      </c>
      <c r="F132" s="9">
        <v>844.50061348576878</v>
      </c>
      <c r="G132" s="9">
        <v>878.36968673692479</v>
      </c>
      <c r="H132" s="9">
        <v>2025.5809866178442</v>
      </c>
      <c r="I132" s="24"/>
      <c r="J132" s="9">
        <v>10.785382460874903</v>
      </c>
      <c r="K132" s="9">
        <v>10.919846528344559</v>
      </c>
      <c r="L132" s="22">
        <v>857.76180157381009</v>
      </c>
      <c r="M132" s="22">
        <v>868.45573302947389</v>
      </c>
      <c r="N132" s="22">
        <v>482.28588231334038</v>
      </c>
    </row>
    <row r="133" spans="2:14" x14ac:dyDescent="0.25">
      <c r="B133" s="37">
        <v>129</v>
      </c>
      <c r="D133" s="9">
        <v>10.694648656974239</v>
      </c>
      <c r="E133" s="9">
        <v>11.123848408596364</v>
      </c>
      <c r="F133" s="9">
        <v>843.95236151157815</v>
      </c>
      <c r="G133" s="9">
        <v>877.82202432705185</v>
      </c>
      <c r="H133" s="9">
        <v>2041.4413731502432</v>
      </c>
      <c r="I133" s="24"/>
      <c r="J133" s="9">
        <v>10.867588194888432</v>
      </c>
      <c r="K133" s="9">
        <v>11.00309958240549</v>
      </c>
      <c r="L133" s="22">
        <v>857.59962904721851</v>
      </c>
      <c r="M133" s="22">
        <v>868.29330952003613</v>
      </c>
      <c r="N133" s="22">
        <v>486.04233325694122</v>
      </c>
    </row>
    <row r="134" spans="2:14" x14ac:dyDescent="0.25">
      <c r="B134" s="37">
        <v>130</v>
      </c>
      <c r="D134" s="9">
        <v>10.771721549802868</v>
      </c>
      <c r="E134" s="9">
        <v>11.204531675436606</v>
      </c>
      <c r="F134" s="9">
        <v>843.49572814042494</v>
      </c>
      <c r="G134" s="9">
        <v>877.38757081200413</v>
      </c>
      <c r="H134" s="9">
        <v>2058.6137197137919</v>
      </c>
      <c r="I134" s="24"/>
      <c r="J134" s="9">
        <v>10.949725847108196</v>
      </c>
      <c r="K134" s="9">
        <v>11.086296715596475</v>
      </c>
      <c r="L134" s="22">
        <v>857.43462023612994</v>
      </c>
      <c r="M134" s="22">
        <v>868.12900586666069</v>
      </c>
      <c r="N134" s="22">
        <v>489.84240211260601</v>
      </c>
    </row>
    <row r="135" spans="2:14" x14ac:dyDescent="0.25">
      <c r="B135" s="37">
        <v>131</v>
      </c>
      <c r="D135" s="9">
        <v>10.84786349462926</v>
      </c>
      <c r="E135" s="9">
        <v>11.28404235715556</v>
      </c>
      <c r="F135" s="9">
        <v>842.97372348176032</v>
      </c>
      <c r="G135" s="9">
        <v>876.86863007141949</v>
      </c>
      <c r="H135" s="9">
        <v>2074.6367459194735</v>
      </c>
      <c r="I135" s="24"/>
      <c r="J135" s="9">
        <v>11.033178667234621</v>
      </c>
      <c r="K135" s="9">
        <v>11.170800330319958</v>
      </c>
      <c r="L135" s="22">
        <v>857.37433067470181</v>
      </c>
      <c r="M135" s="22">
        <v>868.06873569005211</v>
      </c>
      <c r="N135" s="22">
        <v>493.61131531679609</v>
      </c>
    </row>
    <row r="136" spans="2:14" x14ac:dyDescent="0.25">
      <c r="B136" s="37">
        <v>132</v>
      </c>
      <c r="D136" s="9">
        <v>10.924255507394692</v>
      </c>
      <c r="E136" s="9">
        <v>11.363868075284229</v>
      </c>
      <c r="F136" s="9">
        <v>842.47891323156898</v>
      </c>
      <c r="G136" s="9">
        <v>876.3818476867192</v>
      </c>
      <c r="H136" s="9">
        <v>2090.9687875043946</v>
      </c>
      <c r="I136" s="24"/>
      <c r="J136" s="9">
        <v>11.114936216530278</v>
      </c>
      <c r="K136" s="9">
        <v>11.253610990579128</v>
      </c>
      <c r="L136" s="22">
        <v>857.18421525403005</v>
      </c>
      <c r="M136" s="22">
        <v>867.87881799874117</v>
      </c>
      <c r="N136" s="22">
        <v>497.38853669471365</v>
      </c>
    </row>
    <row r="137" spans="2:14" x14ac:dyDescent="0.25">
      <c r="B137" s="37">
        <v>133</v>
      </c>
      <c r="D137" s="9">
        <v>11.000945882255694</v>
      </c>
      <c r="E137" s="9">
        <v>11.444069661754204</v>
      </c>
      <c r="F137" s="9">
        <v>842.01438042558561</v>
      </c>
      <c r="G137" s="9">
        <v>875.93115436846188</v>
      </c>
      <c r="H137" s="9">
        <v>2107.669479015422</v>
      </c>
      <c r="I137" s="24"/>
      <c r="J137" s="9">
        <v>11.200115676074097</v>
      </c>
      <c r="K137" s="9">
        <v>11.339855722010263</v>
      </c>
      <c r="L137" s="22">
        <v>857.25887233895799</v>
      </c>
      <c r="M137" s="22">
        <v>867.95460063895553</v>
      </c>
      <c r="N137" s="22">
        <v>501.20937598469442</v>
      </c>
    </row>
    <row r="138" spans="2:14" x14ac:dyDescent="0.25">
      <c r="B138" s="37">
        <v>134</v>
      </c>
      <c r="D138" s="9">
        <v>11.076406778199907</v>
      </c>
      <c r="E138" s="9">
        <v>11.522722625942604</v>
      </c>
      <c r="F138" s="9">
        <v>841.46337867986711</v>
      </c>
      <c r="G138" s="9">
        <v>875.36954055350805</v>
      </c>
      <c r="H138" s="9">
        <v>2122.8522002424806</v>
      </c>
      <c r="I138" s="24"/>
      <c r="J138" s="9">
        <v>11.290730703175329</v>
      </c>
      <c r="K138" s="9">
        <v>11.431527334624656</v>
      </c>
      <c r="L138" s="22">
        <v>857.74534968843443</v>
      </c>
      <c r="M138" s="22">
        <v>868.44152684935921</v>
      </c>
      <c r="N138" s="22">
        <v>504.99905962320128</v>
      </c>
    </row>
    <row r="139" spans="2:14" x14ac:dyDescent="0.25">
      <c r="B139" s="37">
        <v>135</v>
      </c>
      <c r="D139" s="9">
        <v>11.152908009555302</v>
      </c>
      <c r="E139" s="9">
        <v>11.602686057604531</v>
      </c>
      <c r="F139" s="9">
        <v>840.99898771676374</v>
      </c>
      <c r="G139" s="9">
        <v>874.91506438327485</v>
      </c>
      <c r="H139" s="9">
        <v>2139.3197748884695</v>
      </c>
      <c r="I139" s="24"/>
      <c r="J139" s="9">
        <v>11.374961237447067</v>
      </c>
      <c r="K139" s="9">
        <v>11.516825457150162</v>
      </c>
      <c r="L139" s="22">
        <v>857.7431892932691</v>
      </c>
      <c r="M139" s="22">
        <v>868.44063834075632</v>
      </c>
      <c r="N139" s="22">
        <v>508.82820708690832</v>
      </c>
    </row>
    <row r="140" spans="2:14" x14ac:dyDescent="0.25">
      <c r="B140" s="37">
        <v>136</v>
      </c>
      <c r="D140" s="9">
        <v>11.22891734655477</v>
      </c>
      <c r="E140" s="9">
        <v>11.682029937564606</v>
      </c>
      <c r="F140" s="9">
        <v>840.50460685758264</v>
      </c>
      <c r="G140" s="9">
        <v>874.42089712984045</v>
      </c>
      <c r="H140" s="9">
        <v>2155.1801614208707</v>
      </c>
      <c r="I140" s="24"/>
      <c r="J140" s="9">
        <v>11.457120102182415</v>
      </c>
      <c r="K140" s="9">
        <v>11.600023534650363</v>
      </c>
      <c r="L140" s="22">
        <v>857.58599248746975</v>
      </c>
      <c r="M140" s="22">
        <v>868.28257076105763</v>
      </c>
      <c r="N140" s="22">
        <v>512.55557942246685</v>
      </c>
    </row>
    <row r="141" spans="2:14" x14ac:dyDescent="0.25">
      <c r="B141" s="37">
        <v>137</v>
      </c>
      <c r="D141" s="9">
        <v>11.306274338228015</v>
      </c>
      <c r="E141" s="9">
        <v>11.763071390102002</v>
      </c>
      <c r="F141" s="9">
        <v>840.11758129783254</v>
      </c>
      <c r="G141" s="9">
        <v>874.06008285794428</v>
      </c>
      <c r="H141" s="9">
        <v>2172.7048939431952</v>
      </c>
      <c r="I141" s="24"/>
      <c r="J141" s="9">
        <v>11.532549059905378</v>
      </c>
      <c r="K141" s="9">
        <v>11.676509077886488</v>
      </c>
      <c r="L141" s="22">
        <v>856.9310218882207</v>
      </c>
      <c r="M141" s="22">
        <v>867.62803298947767</v>
      </c>
      <c r="N141" s="22">
        <v>516.34526306097382</v>
      </c>
    </row>
    <row r="142" spans="2:14" x14ac:dyDescent="0.25">
      <c r="B142" s="37">
        <v>138</v>
      </c>
      <c r="D142" s="9">
        <v>11.382415035979077</v>
      </c>
      <c r="E142" s="9">
        <v>11.842580824745616</v>
      </c>
      <c r="F142" s="9">
        <v>839.64644246830551</v>
      </c>
      <c r="G142" s="9">
        <v>873.59148543696676</v>
      </c>
      <c r="H142" s="9">
        <v>2188.7279201488773</v>
      </c>
      <c r="I142" s="24"/>
      <c r="J142" s="9">
        <v>11.617745237419328</v>
      </c>
      <c r="K142" s="9">
        <v>11.762767052738107</v>
      </c>
      <c r="L142" s="22">
        <v>857.00604197509494</v>
      </c>
      <c r="M142" s="22">
        <v>867.70386409173818</v>
      </c>
      <c r="N142" s="22">
        <v>520.153640090365</v>
      </c>
    </row>
    <row r="143" spans="2:14" x14ac:dyDescent="0.25">
      <c r="B143" s="37">
        <v>139</v>
      </c>
      <c r="D143" s="9">
        <v>11.458423853600522</v>
      </c>
      <c r="E143" s="9">
        <v>11.92192418532767</v>
      </c>
      <c r="F143" s="9">
        <v>839.17242420364812</v>
      </c>
      <c r="G143" s="9">
        <v>873.11746777719736</v>
      </c>
      <c r="H143" s="9">
        <v>2204.5883066812789</v>
      </c>
      <c r="I143" s="24"/>
      <c r="J143" s="9">
        <v>11.705809463448894</v>
      </c>
      <c r="K143" s="9">
        <v>11.85188786428084</v>
      </c>
      <c r="L143" s="22">
        <v>857.29002786205376</v>
      </c>
      <c r="M143" s="22">
        <v>867.98826763011914</v>
      </c>
      <c r="N143" s="22">
        <v>523.94332372887129</v>
      </c>
    </row>
    <row r="144" spans="2:14" x14ac:dyDescent="0.25">
      <c r="B144" s="37">
        <v>140</v>
      </c>
      <c r="D144" s="9">
        <v>11.535780322262422</v>
      </c>
      <c r="E144" s="9">
        <v>12.002965114853719</v>
      </c>
      <c r="F144" s="9">
        <v>838.803169609321</v>
      </c>
      <c r="G144" s="9">
        <v>872.77365741954645</v>
      </c>
      <c r="H144" s="9">
        <v>2222.1130392036066</v>
      </c>
      <c r="I144" s="24"/>
      <c r="J144" s="9">
        <v>11.782173936635212</v>
      </c>
      <c r="K144" s="9">
        <v>11.929317609354481</v>
      </c>
      <c r="L144" s="22">
        <v>856.71923067616888</v>
      </c>
      <c r="M144" s="22">
        <v>867.41851374301837</v>
      </c>
      <c r="N144" s="22">
        <v>527.7641630188524</v>
      </c>
    </row>
    <row r="145" spans="2:14" x14ac:dyDescent="0.25">
      <c r="B145" s="37">
        <v>141</v>
      </c>
      <c r="D145" s="9">
        <v>11.611218063878773</v>
      </c>
      <c r="E145" s="9">
        <v>12.081589225725601</v>
      </c>
      <c r="F145" s="9">
        <v>838.30062542098869</v>
      </c>
      <c r="G145" s="9">
        <v>872.26023560029068</v>
      </c>
      <c r="H145" s="9">
        <v>2237.2686538184489</v>
      </c>
      <c r="I145" s="24"/>
      <c r="J145" s="9">
        <v>11.86974375817787</v>
      </c>
      <c r="K145" s="9">
        <v>12.017940541860645</v>
      </c>
      <c r="L145" s="22">
        <v>856.96552776164219</v>
      </c>
      <c r="M145" s="22">
        <v>867.66496134071906</v>
      </c>
      <c r="N145" s="22">
        <v>531.5413843967691</v>
      </c>
    </row>
    <row r="146" spans="2:14" x14ac:dyDescent="0.25">
      <c r="B146" s="37">
        <v>142</v>
      </c>
      <c r="D146" s="9">
        <v>11.687740039876838</v>
      </c>
      <c r="E146" s="9">
        <v>12.161579101018843</v>
      </c>
      <c r="F146" s="9">
        <v>837.88288704398485</v>
      </c>
      <c r="G146" s="9">
        <v>871.8519554172799</v>
      </c>
      <c r="H146" s="9">
        <v>2253.7633350766505</v>
      </c>
      <c r="I146" s="24"/>
      <c r="J146" s="9">
        <v>11.952772814375917</v>
      </c>
      <c r="K146" s="9">
        <v>12.102026183571843</v>
      </c>
      <c r="L146" s="22">
        <v>856.88283275640731</v>
      </c>
      <c r="M146" s="22">
        <v>867.58266381495662</v>
      </c>
      <c r="N146" s="22">
        <v>535.33106803527517</v>
      </c>
    </row>
    <row r="147" spans="2:14" x14ac:dyDescent="0.25">
      <c r="B147" s="37">
        <v>143</v>
      </c>
      <c r="D147" s="9">
        <v>11.764714046733211</v>
      </c>
      <c r="E147" s="9">
        <v>12.242138406336734</v>
      </c>
      <c r="F147" s="9">
        <v>837.50317020796695</v>
      </c>
      <c r="G147" s="9">
        <v>871.48992187181102</v>
      </c>
      <c r="H147" s="9">
        <v>2270.8164125464582</v>
      </c>
      <c r="I147" s="24"/>
      <c r="J147" s="9">
        <v>12.030375761312493</v>
      </c>
      <c r="K147" s="9">
        <v>12.180682820563543</v>
      </c>
      <c r="L147" s="22">
        <v>856.41502197752311</v>
      </c>
      <c r="M147" s="22">
        <v>867.11503883533578</v>
      </c>
      <c r="N147" s="22">
        <v>539.11036645662409</v>
      </c>
    </row>
    <row r="148" spans="2:14" x14ac:dyDescent="0.25">
      <c r="B148" s="37">
        <v>144</v>
      </c>
      <c r="D148" s="9">
        <v>11.841103982522545</v>
      </c>
      <c r="E148" s="9">
        <v>12.321962047489315</v>
      </c>
      <c r="F148" s="9">
        <v>837.08743727016122</v>
      </c>
      <c r="G148" s="9">
        <v>871.08090999769081</v>
      </c>
      <c r="H148" s="9">
        <v>2287.1484541313785</v>
      </c>
      <c r="I148" s="24"/>
      <c r="J148" s="9">
        <v>12.114671194162703</v>
      </c>
      <c r="K148" s="9">
        <v>12.26603483892692</v>
      </c>
      <c r="L148" s="22">
        <v>856.42682289256663</v>
      </c>
      <c r="M148" s="22">
        <v>867.12722765875776</v>
      </c>
      <c r="N148" s="22">
        <v>542.90005009513163</v>
      </c>
    </row>
    <row r="149" spans="2:14" x14ac:dyDescent="0.25">
      <c r="B149" s="37">
        <v>145</v>
      </c>
      <c r="D149" s="9">
        <v>11.917792292061469</v>
      </c>
      <c r="E149" s="9">
        <v>12.402161568637204</v>
      </c>
      <c r="F149" s="9">
        <v>836.69838615367257</v>
      </c>
      <c r="G149" s="9">
        <v>870.70392863013399</v>
      </c>
      <c r="H149" s="9">
        <v>2303.8491456424053</v>
      </c>
      <c r="I149" s="24"/>
      <c r="J149" s="9">
        <v>12.197360164394542</v>
      </c>
      <c r="K149" s="9">
        <v>12.34978560649642</v>
      </c>
      <c r="L149" s="22">
        <v>856.32567801017785</v>
      </c>
      <c r="M149" s="22">
        <v>867.02683123470183</v>
      </c>
      <c r="N149" s="22">
        <v>546.70842712452315</v>
      </c>
    </row>
    <row r="150" spans="2:14" x14ac:dyDescent="0.25">
      <c r="B150" s="37">
        <v>146</v>
      </c>
      <c r="D150" s="9">
        <v>11.993251171944266</v>
      </c>
      <c r="E150" s="9">
        <v>12.4808125167642</v>
      </c>
      <c r="F150" s="9">
        <v>836.22894257254177</v>
      </c>
      <c r="G150" s="9">
        <v>870.22413720098245</v>
      </c>
      <c r="H150" s="9">
        <v>2319.0318668694626</v>
      </c>
      <c r="I150" s="24"/>
      <c r="J150" s="9">
        <v>12.287902671142712</v>
      </c>
      <c r="K150" s="9">
        <v>12.441384698757751</v>
      </c>
      <c r="L150" s="22">
        <v>856.77350618332673</v>
      </c>
      <c r="M150" s="22">
        <v>867.47503421908175</v>
      </c>
      <c r="N150" s="22">
        <v>550.49811076302922</v>
      </c>
    </row>
    <row r="151" spans="2:14" x14ac:dyDescent="0.25">
      <c r="B151" s="37">
        <v>147</v>
      </c>
      <c r="D151" s="9">
        <v>12.070035744703187</v>
      </c>
      <c r="E151" s="9">
        <v>12.561133376682186</v>
      </c>
      <c r="F151" s="9">
        <v>835.85769105802683</v>
      </c>
      <c r="G151" s="9">
        <v>869.86651600539028</v>
      </c>
      <c r="H151" s="9">
        <v>2335.85182747423</v>
      </c>
      <c r="I151" s="24"/>
      <c r="J151" s="9">
        <v>12.366341339955351</v>
      </c>
      <c r="K151" s="9">
        <v>12.520888639457702</v>
      </c>
      <c r="L151" s="22">
        <v>856.37704294178036</v>
      </c>
      <c r="M151" s="22">
        <v>867.07954222625665</v>
      </c>
      <c r="N151" s="22">
        <v>554.31895005301021</v>
      </c>
    </row>
    <row r="152" spans="2:14" x14ac:dyDescent="0.25">
      <c r="B152" s="37">
        <v>148</v>
      </c>
      <c r="D152" s="9">
        <v>12.146723572051711</v>
      </c>
      <c r="E152" s="9">
        <v>12.641332415639695</v>
      </c>
      <c r="F152" s="9">
        <v>835.48480204247448</v>
      </c>
      <c r="G152" s="9">
        <v>869.50534835048302</v>
      </c>
      <c r="H152" s="9">
        <v>2352.5525189852578</v>
      </c>
      <c r="I152" s="24"/>
      <c r="J152" s="9">
        <v>12.448148617080975</v>
      </c>
      <c r="K152" s="9">
        <v>12.603749027546833</v>
      </c>
      <c r="L152" s="22">
        <v>856.21763938606614</v>
      </c>
      <c r="M152" s="22">
        <v>866.92026033274794</v>
      </c>
      <c r="N152" s="22">
        <v>558.09617143092726</v>
      </c>
    </row>
    <row r="153" spans="2:14" x14ac:dyDescent="0.25">
      <c r="B153" s="37">
        <v>149</v>
      </c>
      <c r="D153" s="9">
        <v>12.223112706235488</v>
      </c>
      <c r="E153" s="9">
        <v>12.721155255186714</v>
      </c>
      <c r="F153" s="9">
        <v>835.0965112028905</v>
      </c>
      <c r="G153" s="9">
        <v>869.12332622584199</v>
      </c>
      <c r="H153" s="9">
        <v>2368.8845605701777</v>
      </c>
      <c r="I153" s="24"/>
      <c r="J153" s="9">
        <v>12.532446244804136</v>
      </c>
      <c r="K153" s="9">
        <v>12.68910324078316</v>
      </c>
      <c r="L153" s="22">
        <v>856.23051896876359</v>
      </c>
      <c r="M153" s="22">
        <v>866.93349732965771</v>
      </c>
      <c r="N153" s="22">
        <v>561.88585506943298</v>
      </c>
    </row>
    <row r="154" spans="2:14" x14ac:dyDescent="0.25">
      <c r="B154" s="37">
        <v>150</v>
      </c>
      <c r="D154" s="9">
        <v>12.299536805784408</v>
      </c>
      <c r="E154" s="9">
        <v>12.801022178480718</v>
      </c>
      <c r="F154" s="9">
        <v>834.71577052091072</v>
      </c>
      <c r="G154" s="9">
        <v>868.7493895006354</v>
      </c>
      <c r="H154" s="9">
        <v>2385.2599727346424</v>
      </c>
      <c r="I154" s="24"/>
      <c r="J154" s="9">
        <v>12.612594691029619</v>
      </c>
      <c r="K154" s="9">
        <v>12.770305377063764</v>
      </c>
      <c r="L154" s="22">
        <v>855.9616400220458</v>
      </c>
      <c r="M154" s="22">
        <v>866.66477452955519</v>
      </c>
      <c r="N154" s="22">
        <v>565.66515349078179</v>
      </c>
    </row>
    <row r="155" spans="2:14" x14ac:dyDescent="0.25">
      <c r="B155" s="37">
        <v>151</v>
      </c>
      <c r="D155" s="9">
        <v>12.375925628689217</v>
      </c>
      <c r="E155" s="9">
        <v>12.880844706748773</v>
      </c>
      <c r="F155" s="9">
        <v>834.33769454509718</v>
      </c>
      <c r="G155" s="9">
        <v>868.37741263644318</v>
      </c>
      <c r="H155" s="9">
        <v>2401.5920143195622</v>
      </c>
      <c r="I155" s="24"/>
      <c r="J155" s="9">
        <v>12.694408241467967</v>
      </c>
      <c r="K155" s="9">
        <v>12.853172038465608</v>
      </c>
      <c r="L155" s="22">
        <v>855.80857735991776</v>
      </c>
      <c r="M155" s="22">
        <v>866.51182690572705</v>
      </c>
      <c r="N155" s="22">
        <v>569.44237486869997</v>
      </c>
    </row>
    <row r="156" spans="2:14" x14ac:dyDescent="0.25">
      <c r="B156" s="37">
        <v>152</v>
      </c>
      <c r="D156" s="9">
        <v>12.452612830406419</v>
      </c>
      <c r="E156" s="9">
        <v>12.961043120074965</v>
      </c>
      <c r="F156" s="9">
        <v>833.98457647524162</v>
      </c>
      <c r="G156" s="9">
        <v>868.03550422600563</v>
      </c>
      <c r="H156" s="9">
        <v>2418.2927058305895</v>
      </c>
      <c r="I156" s="24"/>
      <c r="J156" s="9">
        <v>12.779600291375694</v>
      </c>
      <c r="K156" s="9">
        <v>12.939429360260656</v>
      </c>
      <c r="L156" s="22">
        <v>855.88379576866555</v>
      </c>
      <c r="M156" s="22">
        <v>866.58797328850153</v>
      </c>
      <c r="N156" s="22">
        <v>573.26321415868108</v>
      </c>
    </row>
    <row r="157" spans="2:14" x14ac:dyDescent="0.25">
      <c r="B157" s="37">
        <v>153</v>
      </c>
      <c r="D157" s="9">
        <v>12.52890476274294</v>
      </c>
      <c r="E157" s="9">
        <v>13.040743682224626</v>
      </c>
      <c r="F157" s="9">
        <v>833.6097751081212</v>
      </c>
      <c r="G157" s="9">
        <v>867.66494071441639</v>
      </c>
      <c r="H157" s="9">
        <v>2434.5054783217679</v>
      </c>
      <c r="I157" s="24"/>
      <c r="J157" s="9">
        <v>12.862663797896587</v>
      </c>
      <c r="K157" s="9">
        <v>13.023549452294722</v>
      </c>
      <c r="L157" s="22">
        <v>855.81640844945605</v>
      </c>
      <c r="M157" s="22">
        <v>866.52092386566142</v>
      </c>
      <c r="N157" s="22">
        <v>577.05289779718737</v>
      </c>
    </row>
    <row r="158" spans="2:14" x14ac:dyDescent="0.25">
      <c r="B158" s="37">
        <v>154</v>
      </c>
      <c r="D158" s="9">
        <v>12.604854111354767</v>
      </c>
      <c r="E158" s="9">
        <v>13.120012756426547</v>
      </c>
      <c r="F158" s="9">
        <v>833.21719551938008</v>
      </c>
      <c r="G158" s="9">
        <v>867.27066711867474</v>
      </c>
      <c r="H158" s="9">
        <v>2450.2953876624142</v>
      </c>
      <c r="I158" s="24"/>
      <c r="J158" s="9">
        <v>12.9452285034016</v>
      </c>
      <c r="K158" s="9">
        <v>13.107167268763233</v>
      </c>
      <c r="L158" s="22">
        <v>855.71692410508399</v>
      </c>
      <c r="M158" s="22">
        <v>866.42154335164412</v>
      </c>
      <c r="N158" s="22">
        <v>580.83011917510385</v>
      </c>
    </row>
    <row r="159" spans="2:14" x14ac:dyDescent="0.25">
      <c r="B159" s="37">
        <v>155</v>
      </c>
      <c r="D159" s="9">
        <v>12.681540858112278</v>
      </c>
      <c r="E159" s="9">
        <v>13.200210714793039</v>
      </c>
      <c r="F159" s="9">
        <v>832.87811113866371</v>
      </c>
      <c r="G159" s="9">
        <v>866.94248670391653</v>
      </c>
      <c r="H159" s="9">
        <v>2466.996079173442</v>
      </c>
      <c r="I159" s="24"/>
      <c r="J159" s="9">
        <v>13.030418812160397</v>
      </c>
      <c r="K159" s="9">
        <v>13.193422849409352</v>
      </c>
      <c r="L159" s="22">
        <v>855.7911636325681</v>
      </c>
      <c r="M159" s="22">
        <v>866.49668405558816</v>
      </c>
      <c r="N159" s="22">
        <v>584.65095846508484</v>
      </c>
    </row>
    <row r="160" spans="2:14" x14ac:dyDescent="0.25">
      <c r="B160" s="37">
        <v>156</v>
      </c>
      <c r="D160" s="9">
        <v>12.758214284387808</v>
      </c>
      <c r="E160" s="9">
        <v>13.280391933284344</v>
      </c>
      <c r="F160" s="9">
        <v>832.54250476008383</v>
      </c>
      <c r="G160" s="9">
        <v>866.61742136295334</v>
      </c>
      <c r="H160" s="9">
        <v>2483.6805067171426</v>
      </c>
      <c r="I160" s="24"/>
      <c r="J160" s="9">
        <v>13.109780872215094</v>
      </c>
      <c r="K160" s="9">
        <v>13.273841494977217</v>
      </c>
      <c r="L160" s="22">
        <v>855.48412661212103</v>
      </c>
      <c r="M160" s="22">
        <v>866.18996982514955</v>
      </c>
      <c r="N160" s="22">
        <v>588.4406421035909</v>
      </c>
    </row>
    <row r="161" spans="2:14" x14ac:dyDescent="0.25">
      <c r="B161" s="37">
        <v>157</v>
      </c>
      <c r="D161" s="9">
        <v>12.83490073226621</v>
      </c>
      <c r="E161" s="9">
        <v>13.360589592771726</v>
      </c>
      <c r="F161" s="9">
        <v>832.21201793973751</v>
      </c>
      <c r="G161" s="9">
        <v>866.29756301216059</v>
      </c>
      <c r="H161" s="9">
        <v>2500.3811982281704</v>
      </c>
      <c r="I161" s="24"/>
      <c r="J161" s="9">
        <v>13.189948517378529</v>
      </c>
      <c r="K161" s="9">
        <v>13.355059355646105</v>
      </c>
      <c r="L161" s="22">
        <v>855.23323484487094</v>
      </c>
      <c r="M161" s="22">
        <v>865.93898370609486</v>
      </c>
      <c r="N161" s="22">
        <v>592.20747826435024</v>
      </c>
    </row>
    <row r="162" spans="2:14" x14ac:dyDescent="0.25">
      <c r="B162" s="37">
        <v>158</v>
      </c>
      <c r="D162" s="9">
        <v>12.910739737534282</v>
      </c>
      <c r="E162" s="9">
        <v>13.439719828686622</v>
      </c>
      <c r="F162" s="9">
        <v>831.83111428454606</v>
      </c>
      <c r="G162" s="9">
        <v>865.91298004924363</v>
      </c>
      <c r="H162" s="9">
        <v>2516.0355745077441</v>
      </c>
      <c r="I162" s="24"/>
      <c r="J162" s="9">
        <v>13.27673181136679</v>
      </c>
      <c r="K162" s="9">
        <v>13.442899235147541</v>
      </c>
      <c r="L162" s="22">
        <v>855.41176115564087</v>
      </c>
      <c r="M162" s="22">
        <v>866.11782727511263</v>
      </c>
      <c r="N162" s="22">
        <v>595.99716190285801</v>
      </c>
    </row>
    <row r="163" spans="2:14" x14ac:dyDescent="0.25">
      <c r="B163" s="37">
        <v>159</v>
      </c>
      <c r="D163" s="9">
        <v>13.026392257945671</v>
      </c>
      <c r="E163" s="9">
        <v>13.557160516417197</v>
      </c>
      <c r="F163" s="9">
        <v>803.67661011762482</v>
      </c>
      <c r="G163" s="9">
        <v>836.42290136079214</v>
      </c>
      <c r="H163" s="9">
        <v>2551.3644645966911</v>
      </c>
      <c r="I163" s="24"/>
      <c r="J163" s="9">
        <v>13.23455735746654</v>
      </c>
      <c r="K163" s="9">
        <v>13.386080199699149</v>
      </c>
      <c r="L163" s="22">
        <v>816.51956910542003</v>
      </c>
      <c r="M163" s="22">
        <v>825.86792602493563</v>
      </c>
      <c r="N163" s="22">
        <v>543.44276781638223</v>
      </c>
    </row>
    <row r="164" spans="2:14" x14ac:dyDescent="0.25">
      <c r="B164" s="37">
        <v>160</v>
      </c>
      <c r="D164" s="9">
        <v>13.101571807078937</v>
      </c>
      <c r="E164" s="9">
        <v>13.6354014016429</v>
      </c>
      <c r="F164" s="9">
        <v>803.44552258596741</v>
      </c>
      <c r="G164" s="9">
        <v>836.1822814948913</v>
      </c>
      <c r="H164" s="9">
        <v>2566.0800848241515</v>
      </c>
      <c r="I164" s="24"/>
      <c r="J164" s="9">
        <v>13.325131956217323</v>
      </c>
      <c r="K164" s="9">
        <v>13.477574720883078</v>
      </c>
      <c r="L164" s="22">
        <v>817.15520593532221</v>
      </c>
      <c r="M164" s="22">
        <v>826.5036611073308</v>
      </c>
      <c r="N164" s="22">
        <v>546.7420848667316</v>
      </c>
    </row>
    <row r="165" spans="2:14" x14ac:dyDescent="0.25">
      <c r="B165" s="37">
        <v>161</v>
      </c>
      <c r="D165" s="9">
        <v>13.17739484013233</v>
      </c>
      <c r="E165" s="9">
        <v>13.714449738332656</v>
      </c>
      <c r="F165" s="9">
        <v>803.25642751519069</v>
      </c>
      <c r="G165" s="9">
        <v>835.99376324365369</v>
      </c>
      <c r="H165" s="9">
        <v>2581.5838851249096</v>
      </c>
      <c r="I165" s="24"/>
      <c r="J165" s="9">
        <v>13.405118650982843</v>
      </c>
      <c r="K165" s="9">
        <v>13.558479121129515</v>
      </c>
      <c r="L165" s="22">
        <v>817.13782190179847</v>
      </c>
      <c r="M165" s="22">
        <v>826.48623901053475</v>
      </c>
      <c r="N165" s="22">
        <v>550.03348083114952</v>
      </c>
    </row>
    <row r="166" spans="2:14" x14ac:dyDescent="0.25">
      <c r="B166" s="37">
        <v>162</v>
      </c>
      <c r="D166" s="9">
        <v>13.2537626414267</v>
      </c>
      <c r="E166" s="9">
        <v>13.794181669117224</v>
      </c>
      <c r="F166" s="9">
        <v>803.102593431522</v>
      </c>
      <c r="G166" s="9">
        <v>835.8489111693566</v>
      </c>
      <c r="H166" s="9">
        <v>2597.7550112210729</v>
      </c>
      <c r="I166" s="24"/>
      <c r="J166" s="9">
        <v>13.481526058964572</v>
      </c>
      <c r="K166" s="9">
        <v>13.635805958888348</v>
      </c>
      <c r="L166" s="22">
        <v>816.90376041045636</v>
      </c>
      <c r="M166" s="22">
        <v>826.25224439159115</v>
      </c>
      <c r="N166" s="22">
        <v>553.33103764018108</v>
      </c>
    </row>
    <row r="167" spans="2:14" x14ac:dyDescent="0.25">
      <c r="B167" s="37">
        <v>163</v>
      </c>
      <c r="D167" s="9">
        <v>13.330143084222104</v>
      </c>
      <c r="E167" s="9">
        <v>13.873929520753693</v>
      </c>
      <c r="F167" s="9">
        <v>802.95134134001557</v>
      </c>
      <c r="G167" s="9">
        <v>835.70673232545494</v>
      </c>
      <c r="H167" s="9">
        <v>2613.9419009186959</v>
      </c>
      <c r="I167" s="24"/>
      <c r="J167" s="9">
        <v>13.563591378364267</v>
      </c>
      <c r="K167" s="9">
        <v>13.718791151455603</v>
      </c>
      <c r="L167" s="22">
        <v>817.01327748958738</v>
      </c>
      <c r="M167" s="22">
        <v>826.36185425969393</v>
      </c>
      <c r="N167" s="22">
        <v>556.63017866639757</v>
      </c>
    </row>
    <row r="168" spans="2:14" x14ac:dyDescent="0.25">
      <c r="B168" s="37">
        <v>164</v>
      </c>
      <c r="D168" s="9">
        <v>13.406360230380349</v>
      </c>
      <c r="E168" s="9">
        <v>13.953472537308555</v>
      </c>
      <c r="F168" s="9">
        <v>802.79209024789748</v>
      </c>
      <c r="G168" s="9">
        <v>835.55396035518629</v>
      </c>
      <c r="H168" s="9">
        <v>2629.9291183310838</v>
      </c>
      <c r="I168" s="24"/>
      <c r="J168" s="9">
        <v>13.643640380360273</v>
      </c>
      <c r="K168" s="9">
        <v>13.799759583228711</v>
      </c>
      <c r="L168" s="22">
        <v>817.00076615271553</v>
      </c>
      <c r="M168" s="22">
        <v>826.34940806930183</v>
      </c>
      <c r="N168" s="22">
        <v>559.92773547542913</v>
      </c>
    </row>
    <row r="169" spans="2:14" x14ac:dyDescent="0.25">
      <c r="B169" s="37">
        <v>165</v>
      </c>
      <c r="D169" s="9">
        <v>13.482354009318989</v>
      </c>
      <c r="E169" s="9">
        <v>14.032735344561923</v>
      </c>
      <c r="F169" s="9">
        <v>802.62140441157328</v>
      </c>
      <c r="G169" s="9">
        <v>835.38629398124817</v>
      </c>
      <c r="H169" s="9">
        <v>2645.643099984728</v>
      </c>
      <c r="I169" s="24"/>
      <c r="J169" s="9">
        <v>13.722887546968817</v>
      </c>
      <c r="K169" s="9">
        <v>13.879925440630281</v>
      </c>
      <c r="L169" s="22">
        <v>816.94066688333066</v>
      </c>
      <c r="M169" s="22">
        <v>826.28932919180284</v>
      </c>
      <c r="N169" s="22">
        <v>563.22265192248267</v>
      </c>
    </row>
    <row r="170" spans="2:14" x14ac:dyDescent="0.25">
      <c r="B170" s="37">
        <v>166</v>
      </c>
      <c r="D170" s="9">
        <v>13.559107092142925</v>
      </c>
      <c r="E170" s="9">
        <v>14.112950937402395</v>
      </c>
      <c r="F170" s="9">
        <v>802.49764280054148</v>
      </c>
      <c r="G170" s="9">
        <v>835.27696796405939</v>
      </c>
      <c r="H170" s="9">
        <v>2662.2871341248756</v>
      </c>
      <c r="I170" s="24"/>
      <c r="J170" s="9">
        <v>13.801326659293913</v>
      </c>
      <c r="K170" s="9">
        <v>13.959284426122926</v>
      </c>
      <c r="L170" s="22">
        <v>816.83344163728589</v>
      </c>
      <c r="M170" s="22">
        <v>826.18219407953006</v>
      </c>
      <c r="N170" s="22">
        <v>566.52179294870075</v>
      </c>
    </row>
    <row r="171" spans="2:14" x14ac:dyDescent="0.25">
      <c r="B171" s="37">
        <v>167</v>
      </c>
      <c r="D171" s="9">
        <v>13.634263661625152</v>
      </c>
      <c r="E171" s="9">
        <v>14.19116337739227</v>
      </c>
      <c r="F171" s="9">
        <v>802.28136827915364</v>
      </c>
      <c r="G171" s="9">
        <v>835.05103425073412</v>
      </c>
      <c r="H171" s="9">
        <v>2676.9764816832212</v>
      </c>
      <c r="I171" s="24"/>
      <c r="J171" s="9">
        <v>13.888121293748739</v>
      </c>
      <c r="K171" s="9">
        <v>14.046998490354863</v>
      </c>
      <c r="L171" s="22">
        <v>817.2191202181491</v>
      </c>
      <c r="M171" s="22">
        <v>826.56793566171984</v>
      </c>
      <c r="N171" s="22">
        <v>569.81934975773095</v>
      </c>
    </row>
    <row r="172" spans="2:14" x14ac:dyDescent="0.25">
      <c r="B172" s="37">
        <v>168</v>
      </c>
      <c r="D172" s="9">
        <v>13.710758827413382</v>
      </c>
      <c r="E172" s="9">
        <v>14.271055466179481</v>
      </c>
      <c r="F172" s="9">
        <v>802.14589404843241</v>
      </c>
      <c r="G172" s="9">
        <v>834.92596507825397</v>
      </c>
      <c r="H172" s="9">
        <v>2693.3052437940382</v>
      </c>
      <c r="I172" s="24"/>
      <c r="J172" s="9">
        <v>13.96255768363366</v>
      </c>
      <c r="K172" s="9">
        <v>14.122353571032809</v>
      </c>
      <c r="L172" s="22">
        <v>816.87734846212606</v>
      </c>
      <c r="M172" s="22">
        <v>826.22618294871688</v>
      </c>
      <c r="N172" s="22">
        <v>573.11426620478562</v>
      </c>
    </row>
    <row r="173" spans="2:14" x14ac:dyDescent="0.25">
      <c r="B173" s="37">
        <v>169</v>
      </c>
      <c r="D173" s="9">
        <v>13.787137907405768</v>
      </c>
      <c r="E173" s="9">
        <v>14.350801955012935</v>
      </c>
      <c r="F173" s="9">
        <v>802.00521532155472</v>
      </c>
      <c r="G173" s="9">
        <v>834.79385564025199</v>
      </c>
      <c r="H173" s="9">
        <v>2709.4921334916658</v>
      </c>
      <c r="I173" s="24"/>
      <c r="J173" s="9">
        <v>14.043017727633544</v>
      </c>
      <c r="K173" s="9">
        <v>14.203733241872213</v>
      </c>
      <c r="L173" s="22">
        <v>816.8898818634035</v>
      </c>
      <c r="M173" s="22">
        <v>826.23878962570723</v>
      </c>
      <c r="N173" s="22">
        <v>576.41252711034338</v>
      </c>
    </row>
    <row r="174" spans="2:14" x14ac:dyDescent="0.25">
      <c r="B174" s="37">
        <v>170</v>
      </c>
      <c r="D174" s="9">
        <v>13.86285166413297</v>
      </c>
      <c r="E174" s="9">
        <v>14.429713687452505</v>
      </c>
      <c r="F174" s="9">
        <v>801.82765290390978</v>
      </c>
      <c r="G174" s="9">
        <v>834.61496511721487</v>
      </c>
      <c r="H174" s="9">
        <v>2724.8645704468745</v>
      </c>
      <c r="I174" s="24"/>
      <c r="J174" s="9">
        <v>14.127072392575913</v>
      </c>
      <c r="K174" s="9">
        <v>14.288706597607597</v>
      </c>
      <c r="L174" s="22">
        <v>817.11018579604956</v>
      </c>
      <c r="M174" s="22">
        <v>826.45911186043656</v>
      </c>
      <c r="N174" s="22">
        <v>579.70744355739691</v>
      </c>
    </row>
    <row r="175" spans="2:14" x14ac:dyDescent="0.25">
      <c r="B175" s="37">
        <v>171</v>
      </c>
      <c r="D175" s="9">
        <v>13.939882517515484</v>
      </c>
      <c r="E175" s="9">
        <v>14.51027810345391</v>
      </c>
      <c r="F175" s="9">
        <v>801.7278473409483</v>
      </c>
      <c r="G175" s="9">
        <v>834.53314714692533</v>
      </c>
      <c r="H175" s="9">
        <v>2741.8501492854516</v>
      </c>
      <c r="I175" s="24"/>
      <c r="J175" s="9">
        <v>14.203100930907077</v>
      </c>
      <c r="K175" s="9">
        <v>14.365655058371916</v>
      </c>
      <c r="L175" s="22">
        <v>816.86639185047216</v>
      </c>
      <c r="M175" s="22">
        <v>826.2154068457578</v>
      </c>
      <c r="N175" s="22">
        <v>583.00676060774629</v>
      </c>
    </row>
    <row r="176" spans="2:14" x14ac:dyDescent="0.25">
      <c r="B176" s="37">
        <v>172</v>
      </c>
      <c r="D176" s="9">
        <v>14.015724563595448</v>
      </c>
      <c r="E176" s="9">
        <v>14.589350918755034</v>
      </c>
      <c r="F176" s="9">
        <v>801.56117513908964</v>
      </c>
      <c r="G176" s="9">
        <v>834.36694363476556</v>
      </c>
      <c r="H176" s="9">
        <v>2757.3802222553254</v>
      </c>
      <c r="I176" s="24"/>
      <c r="J176" s="9">
        <v>14.282779106363385</v>
      </c>
      <c r="K176" s="9">
        <v>14.446251431965205</v>
      </c>
      <c r="L176" s="22">
        <v>816.83406040135458</v>
      </c>
      <c r="M176" s="22">
        <v>826.18306471558469</v>
      </c>
      <c r="N176" s="22">
        <v>586.29991681348349</v>
      </c>
    </row>
    <row r="177" spans="2:14" x14ac:dyDescent="0.25">
      <c r="B177" s="37">
        <v>173</v>
      </c>
      <c r="D177" s="9">
        <v>14.092089877413773</v>
      </c>
      <c r="E177" s="9">
        <v>14.669080362063552</v>
      </c>
      <c r="F177" s="9">
        <v>801.42612376591546</v>
      </c>
      <c r="G177" s="9">
        <v>834.23993999794413</v>
      </c>
      <c r="H177" s="9">
        <v>2773.5513483514837</v>
      </c>
      <c r="I177" s="24"/>
      <c r="J177" s="9">
        <v>14.363997829671128</v>
      </c>
      <c r="K177" s="9">
        <v>14.52839126008063</v>
      </c>
      <c r="L177" s="22">
        <v>816.889702134657</v>
      </c>
      <c r="M177" s="22">
        <v>826.2388611913866</v>
      </c>
      <c r="N177" s="22">
        <v>589.60345844299422</v>
      </c>
    </row>
    <row r="178" spans="2:14" x14ac:dyDescent="0.25">
      <c r="B178" s="37">
        <v>174</v>
      </c>
      <c r="D178" s="9">
        <v>14.167910038595364</v>
      </c>
      <c r="E178" s="9">
        <v>14.748125826881486</v>
      </c>
      <c r="F178" s="9">
        <v>801.26174202587879</v>
      </c>
      <c r="G178" s="9">
        <v>834.07566532201713</v>
      </c>
      <c r="H178" s="9">
        <v>2789.0551486522477</v>
      </c>
      <c r="I178" s="24"/>
      <c r="J178" s="9">
        <v>14.443199830420006</v>
      </c>
      <c r="K178" s="9">
        <v>14.60851145896647</v>
      </c>
      <c r="L178" s="22">
        <v>816.8306705099294</v>
      </c>
      <c r="M178" s="22">
        <v>826.17981820393936</v>
      </c>
      <c r="N178" s="22">
        <v>592.89661464873132</v>
      </c>
    </row>
    <row r="179" spans="2:14" x14ac:dyDescent="0.25">
      <c r="B179" s="37">
        <v>175</v>
      </c>
      <c r="D179" s="9">
        <v>14.243996014864136</v>
      </c>
      <c r="E179" s="9">
        <v>14.8275048800381</v>
      </c>
      <c r="F179" s="9">
        <v>801.11412669242952</v>
      </c>
      <c r="G179" s="9">
        <v>833.93196758857437</v>
      </c>
      <c r="H179" s="9">
        <v>2804.884730049977</v>
      </c>
      <c r="I179" s="24"/>
      <c r="J179" s="9">
        <v>14.5236524833964</v>
      </c>
      <c r="K179" s="9">
        <v>14.689882802735893</v>
      </c>
      <c r="L179" s="22">
        <v>816.84263064092283</v>
      </c>
      <c r="M179" s="22">
        <v>826.19179480584501</v>
      </c>
      <c r="N179" s="22">
        <v>596.19153109578497</v>
      </c>
    </row>
    <row r="180" spans="2:14" x14ac:dyDescent="0.25">
      <c r="B180" s="37">
        <v>176</v>
      </c>
      <c r="D180" s="9">
        <v>14.32011610128192</v>
      </c>
      <c r="E180" s="9">
        <v>14.906926788279391</v>
      </c>
      <c r="F180" s="9">
        <v>800.97004139558305</v>
      </c>
      <c r="G180" s="9">
        <v>833.7922459734956</v>
      </c>
      <c r="H180" s="9">
        <v>2820.7563477182789</v>
      </c>
      <c r="I180" s="24"/>
      <c r="J180" s="9">
        <v>14.604880405019474</v>
      </c>
      <c r="K180" s="9">
        <v>14.772030843854553</v>
      </c>
      <c r="L180" s="22">
        <v>816.89782260485936</v>
      </c>
      <c r="M180" s="22">
        <v>826.24708297161283</v>
      </c>
      <c r="N180" s="22">
        <v>599.4915522426619</v>
      </c>
    </row>
    <row r="181" spans="2:14" x14ac:dyDescent="0.25">
      <c r="B181" s="37">
        <v>177</v>
      </c>
      <c r="D181" s="9">
        <v>14.396866700840651</v>
      </c>
      <c r="E181" s="9">
        <v>14.987139897854656</v>
      </c>
      <c r="F181" s="9">
        <v>800.86260471069875</v>
      </c>
      <c r="G181" s="9">
        <v>833.69806397239665</v>
      </c>
      <c r="H181" s="9">
        <v>2837.4003818584215</v>
      </c>
      <c r="I181" s="24"/>
      <c r="J181" s="9">
        <v>14.678607903162366</v>
      </c>
      <c r="K181" s="9">
        <v>14.846676540134407</v>
      </c>
      <c r="L181" s="22">
        <v>816.53518110070718</v>
      </c>
      <c r="M181" s="22">
        <v>825.8844297374086</v>
      </c>
      <c r="N181" s="22">
        <v>602.78470844839751</v>
      </c>
    </row>
    <row r="182" spans="2:14" x14ac:dyDescent="0.25">
      <c r="B182" s="37">
        <v>178</v>
      </c>
      <c r="D182" s="9">
        <v>14.472578741582012</v>
      </c>
      <c r="E182" s="9">
        <v>15.06604991430839</v>
      </c>
      <c r="F182" s="9">
        <v>800.69887730111873</v>
      </c>
      <c r="G182" s="9">
        <v>833.53281175036011</v>
      </c>
      <c r="H182" s="9">
        <v>2852.7728188136302</v>
      </c>
      <c r="I182" s="24"/>
      <c r="J182" s="9">
        <v>14.766569741049739</v>
      </c>
      <c r="K182" s="9">
        <v>14.935558300454943</v>
      </c>
      <c r="L182" s="22">
        <v>816.96399959989094</v>
      </c>
      <c r="M182" s="22">
        <v>826.31333203114013</v>
      </c>
      <c r="N182" s="22">
        <v>606.08402549874688</v>
      </c>
    </row>
    <row r="183" spans="2:14" x14ac:dyDescent="0.25">
      <c r="B183" s="37">
        <v>179</v>
      </c>
      <c r="D183" s="9">
        <v>14.549607787131801</v>
      </c>
      <c r="E183" s="9">
        <v>15.146612522477081</v>
      </c>
      <c r="F183" s="9">
        <v>800.60938966600304</v>
      </c>
      <c r="G183" s="9">
        <v>833.46028185398563</v>
      </c>
      <c r="H183" s="9">
        <v>2869.7583976522073</v>
      </c>
      <c r="I183" s="24"/>
      <c r="J183" s="9">
        <v>14.842646723430475</v>
      </c>
      <c r="K183" s="9">
        <v>15.012555451596869</v>
      </c>
      <c r="L183" s="22">
        <v>816.73420398202563</v>
      </c>
      <c r="M183" s="22">
        <v>826.0836328564269</v>
      </c>
      <c r="N183" s="22">
        <v>609.38422266975397</v>
      </c>
    </row>
    <row r="184" spans="2:14" x14ac:dyDescent="0.25">
      <c r="B184" s="37">
        <v>180</v>
      </c>
      <c r="D184" s="9">
        <v>14.624761632472721</v>
      </c>
      <c r="E184" s="9">
        <v>15.224822238325643</v>
      </c>
      <c r="F184" s="9">
        <v>800.41823391116964</v>
      </c>
      <c r="G184" s="9">
        <v>833.25975724307887</v>
      </c>
      <c r="H184" s="9">
        <v>2884.4477452105534</v>
      </c>
      <c r="I184" s="24"/>
      <c r="J184" s="9">
        <v>14.926981498524093</v>
      </c>
      <c r="K184" s="9">
        <v>15.097809360873946</v>
      </c>
      <c r="L184" s="22">
        <v>816.95883111998785</v>
      </c>
      <c r="M184" s="22">
        <v>826.30829877772294</v>
      </c>
      <c r="N184" s="22">
        <v>612.68072333399516</v>
      </c>
    </row>
    <row r="185" spans="2:14" x14ac:dyDescent="0.25">
      <c r="B185" s="37">
        <v>181</v>
      </c>
      <c r="D185" s="9">
        <v>14.700601764900474</v>
      </c>
      <c r="E185" s="9">
        <v>15.303893139974551</v>
      </c>
      <c r="F185" s="9">
        <v>800.26648247169408</v>
      </c>
      <c r="G185" s="9">
        <v>833.10825822734876</v>
      </c>
      <c r="H185" s="9">
        <v>2899.9778181804268</v>
      </c>
      <c r="I185" s="24"/>
      <c r="J185" s="9">
        <v>15.009796057027549</v>
      </c>
      <c r="K185" s="9">
        <v>15.181542610170434</v>
      </c>
      <c r="L185" s="22">
        <v>817.09829878221058</v>
      </c>
      <c r="M185" s="22">
        <v>826.44778067134359</v>
      </c>
      <c r="N185" s="22">
        <v>615.97563978104859</v>
      </c>
    </row>
    <row r="186" spans="2:14" x14ac:dyDescent="0.25">
      <c r="B186" s="37">
        <v>182</v>
      </c>
      <c r="D186" s="9">
        <v>14.777630151563708</v>
      </c>
      <c r="E186" s="9">
        <v>15.384455089256676</v>
      </c>
      <c r="F186" s="9">
        <v>800.18068712579293</v>
      </c>
      <c r="G186" s="9">
        <v>833.03910830889754</v>
      </c>
      <c r="H186" s="9">
        <v>2916.9633970190039</v>
      </c>
      <c r="I186" s="24"/>
      <c r="J186" s="9">
        <v>15.086665214439098</v>
      </c>
      <c r="K186" s="9">
        <v>15.259332675327249</v>
      </c>
      <c r="L186" s="22">
        <v>816.91435053605403</v>
      </c>
      <c r="M186" s="22">
        <v>826.26396654895211</v>
      </c>
      <c r="N186" s="22">
        <v>619.27847731403324</v>
      </c>
    </row>
    <row r="187" spans="2:14" x14ac:dyDescent="0.25">
      <c r="B187" s="37">
        <v>183</v>
      </c>
      <c r="D187" s="9">
        <v>14.853341148113477</v>
      </c>
      <c r="E187" s="9">
        <v>15.463364061518812</v>
      </c>
      <c r="F187" s="9">
        <v>800.02484291687608</v>
      </c>
      <c r="G187" s="9">
        <v>832.88165813483022</v>
      </c>
      <c r="H187" s="9">
        <v>2932.3358339742122</v>
      </c>
      <c r="I187" s="24"/>
      <c r="J187" s="9">
        <v>15.168311599877303</v>
      </c>
      <c r="K187" s="9">
        <v>15.341897455964837</v>
      </c>
      <c r="L187" s="22">
        <v>816.98965801693305</v>
      </c>
      <c r="M187" s="22">
        <v>826.339271404535</v>
      </c>
      <c r="N187" s="22">
        <v>622.57233761629664</v>
      </c>
    </row>
    <row r="188" spans="2:14" x14ac:dyDescent="0.25">
      <c r="B188" s="37">
        <v>184</v>
      </c>
      <c r="D188" s="9">
        <v>14.93009021670319</v>
      </c>
      <c r="E188" s="9">
        <v>15.543575640125072</v>
      </c>
      <c r="F188" s="9">
        <v>799.92625712802976</v>
      </c>
      <c r="G188" s="9">
        <v>832.79565653805116</v>
      </c>
      <c r="H188" s="9">
        <v>2948.9798681143538</v>
      </c>
      <c r="I188" s="24"/>
      <c r="J188" s="9">
        <v>15.242871099724514</v>
      </c>
      <c r="K188" s="9">
        <v>15.417374661292966</v>
      </c>
      <c r="L188" s="22">
        <v>816.68447073725042</v>
      </c>
      <c r="M188" s="22">
        <v>826.03404457336796</v>
      </c>
      <c r="N188" s="22">
        <v>625.86373358071455</v>
      </c>
    </row>
    <row r="189" spans="2:14" x14ac:dyDescent="0.25">
      <c r="B189" s="37">
        <v>185</v>
      </c>
      <c r="D189" s="9">
        <v>15.005543378206298</v>
      </c>
      <c r="E189" s="9">
        <v>15.622161190322986</v>
      </c>
      <c r="F189" s="9">
        <v>799.7596348974937</v>
      </c>
      <c r="G189" s="9">
        <v>832.62389204968497</v>
      </c>
      <c r="H189" s="9">
        <v>2964.0370330402443</v>
      </c>
      <c r="I189" s="24"/>
      <c r="J189" s="9">
        <v>15.329187432802968</v>
      </c>
      <c r="K189" s="9">
        <v>15.504611902116681</v>
      </c>
      <c r="L189" s="22">
        <v>817.00909027655757</v>
      </c>
      <c r="M189" s="22">
        <v>826.35879564838604</v>
      </c>
      <c r="N189" s="22">
        <v>629.16657111369943</v>
      </c>
    </row>
    <row r="190" spans="2:14" x14ac:dyDescent="0.25">
      <c r="B190" s="37">
        <v>186</v>
      </c>
      <c r="D190" s="9">
        <v>15.082292017363345</v>
      </c>
      <c r="E190" s="9">
        <v>15.702372339496568</v>
      </c>
      <c r="F190" s="9">
        <v>799.6634345671863</v>
      </c>
      <c r="G190" s="9">
        <v>832.54010606603617</v>
      </c>
      <c r="H190" s="9">
        <v>2980.6810671803864</v>
      </c>
      <c r="I190" s="24"/>
      <c r="J190" s="9">
        <v>15.403764820025566</v>
      </c>
      <c r="K190" s="9">
        <v>15.580107684538671</v>
      </c>
      <c r="L190" s="22">
        <v>816.70792921036536</v>
      </c>
      <c r="M190" s="22">
        <v>826.05763153250734</v>
      </c>
      <c r="N190" s="22">
        <v>632.46043141596397</v>
      </c>
    </row>
    <row r="191" spans="2:14" x14ac:dyDescent="0.25">
      <c r="B191" s="37">
        <v>187</v>
      </c>
      <c r="D191" s="9">
        <v>15.158109447940298</v>
      </c>
      <c r="E191" s="9">
        <v>15.78141507370988</v>
      </c>
      <c r="F191" s="9">
        <v>799.51911425041487</v>
      </c>
      <c r="G191" s="9">
        <v>832.39555992684529</v>
      </c>
      <c r="H191" s="9">
        <v>2996.1848674811508</v>
      </c>
      <c r="I191" s="24"/>
      <c r="J191" s="9">
        <v>15.48687835436658</v>
      </c>
      <c r="K191" s="9">
        <v>15.664140648656801</v>
      </c>
      <c r="L191" s="22">
        <v>816.86013067213867</v>
      </c>
      <c r="M191" s="22">
        <v>826.20988454531516</v>
      </c>
      <c r="N191" s="22">
        <v>635.75798822499439</v>
      </c>
    </row>
    <row r="192" spans="2:14" x14ac:dyDescent="0.25">
      <c r="B192" s="37">
        <v>188</v>
      </c>
      <c r="D192" s="9">
        <v>15.234471536160676</v>
      </c>
      <c r="E192" s="9">
        <v>15.861141291420441</v>
      </c>
      <c r="F192" s="9">
        <v>799.4048618226135</v>
      </c>
      <c r="G192" s="9">
        <v>832.28836867237555</v>
      </c>
      <c r="H192" s="9">
        <v>3012.3559935773083</v>
      </c>
      <c r="I192" s="24"/>
      <c r="J192" s="9">
        <v>15.562623183062961</v>
      </c>
      <c r="K192" s="9">
        <v>15.740804168146189</v>
      </c>
      <c r="L192" s="22">
        <v>816.62410184194243</v>
      </c>
      <c r="M192" s="22">
        <v>825.9738679576742</v>
      </c>
      <c r="N192" s="22">
        <v>639.05290467204929</v>
      </c>
    </row>
    <row r="193" spans="2:14" x14ac:dyDescent="0.25">
      <c r="B193" s="37">
        <v>189</v>
      </c>
      <c r="D193" s="9">
        <v>15.310310009832698</v>
      </c>
      <c r="E193" s="9">
        <v>15.940210534313607</v>
      </c>
      <c r="F193" s="9">
        <v>799.26444626893237</v>
      </c>
      <c r="G193" s="9">
        <v>832.14797988650196</v>
      </c>
      <c r="H193" s="9">
        <v>3027.8860665471825</v>
      </c>
      <c r="I193" s="24"/>
      <c r="J193" s="9">
        <v>15.653183487389569</v>
      </c>
      <c r="K193" s="9">
        <v>15.83228587287412</v>
      </c>
      <c r="L193" s="22">
        <v>817.16392577024851</v>
      </c>
      <c r="M193" s="22">
        <v>826.51384545625228</v>
      </c>
      <c r="N193" s="22">
        <v>642.35750244635199</v>
      </c>
    </row>
    <row r="194" spans="2:14" x14ac:dyDescent="0.25">
      <c r="B194" s="37">
        <v>190</v>
      </c>
      <c r="D194" s="9">
        <v>15.387336654602853</v>
      </c>
      <c r="E194" s="9">
        <v>16.020770741702673</v>
      </c>
      <c r="F194" s="9">
        <v>799.18717473308311</v>
      </c>
      <c r="G194" s="9">
        <v>832.08646132258548</v>
      </c>
      <c r="H194" s="9">
        <v>3044.8716453857596</v>
      </c>
      <c r="I194" s="24"/>
      <c r="J194" s="9">
        <v>15.719998449485349</v>
      </c>
      <c r="K194" s="9">
        <v>15.900018737513241</v>
      </c>
      <c r="L194" s="22">
        <v>816.4649561946494</v>
      </c>
      <c r="M194" s="22">
        <v>825.81484621220557</v>
      </c>
      <c r="N194" s="22">
        <v>645.64960250729723</v>
      </c>
    </row>
    <row r="195" spans="2:14" x14ac:dyDescent="0.25">
      <c r="B195" s="37">
        <v>191</v>
      </c>
      <c r="D195" s="9">
        <v>15.463046013135438</v>
      </c>
      <c r="E195" s="9">
        <v>16.099678075947622</v>
      </c>
      <c r="F195" s="9">
        <v>799.04261778967259</v>
      </c>
      <c r="G195" s="9">
        <v>831.94015619227218</v>
      </c>
      <c r="H195" s="9">
        <v>3060.2440823409684</v>
      </c>
      <c r="I195" s="24"/>
      <c r="J195" s="9">
        <v>15.805515818859897</v>
      </c>
      <c r="K195" s="9">
        <v>15.986455044008835</v>
      </c>
      <c r="L195" s="22">
        <v>816.73951721346884</v>
      </c>
      <c r="M195" s="22">
        <v>826.08943132489469</v>
      </c>
      <c r="N195" s="22">
        <v>648.94539907500996</v>
      </c>
    </row>
    <row r="196" spans="2:14" x14ac:dyDescent="0.25">
      <c r="B196" s="37">
        <v>192</v>
      </c>
      <c r="D196" s="9">
        <v>15.539420135548568</v>
      </c>
      <c r="E196" s="9">
        <v>16.179419607201822</v>
      </c>
      <c r="F196" s="9">
        <v>798.9336987577118</v>
      </c>
      <c r="G196" s="9">
        <v>831.83821775718263</v>
      </c>
      <c r="H196" s="9">
        <v>3076.4309720385959</v>
      </c>
      <c r="I196" s="24"/>
      <c r="J196" s="9">
        <v>15.886741405647934</v>
      </c>
      <c r="K196" s="9">
        <v>16.068600306901999</v>
      </c>
      <c r="L196" s="22">
        <v>816.79064995391013</v>
      </c>
      <c r="M196" s="22">
        <v>826.14062590948299</v>
      </c>
      <c r="N196" s="22">
        <v>652.24383600470026</v>
      </c>
    </row>
    <row r="197" spans="2:14" x14ac:dyDescent="0.25">
      <c r="B197" s="37">
        <v>193</v>
      </c>
      <c r="D197" s="9">
        <v>15.615244925186349</v>
      </c>
      <c r="E197" s="9">
        <v>16.258471886709881</v>
      </c>
      <c r="F197" s="9">
        <v>798.79777327411171</v>
      </c>
      <c r="G197" s="9">
        <v>831.70204515947489</v>
      </c>
      <c r="H197" s="9">
        <v>3091.945281407</v>
      </c>
      <c r="I197" s="24"/>
      <c r="J197" s="9">
        <v>15.962524031621941</v>
      </c>
      <c r="K197" s="9">
        <v>16.145301328075405</v>
      </c>
      <c r="L197" s="22">
        <v>816.56283416521148</v>
      </c>
      <c r="M197" s="22">
        <v>825.91280581865624</v>
      </c>
      <c r="N197" s="22">
        <v>655.53769630696343</v>
      </c>
    </row>
    <row r="198" spans="2:14" x14ac:dyDescent="0.25">
      <c r="B198" s="37">
        <v>194</v>
      </c>
      <c r="D198" s="9">
        <v>15.691060936812335</v>
      </c>
      <c r="E198" s="9">
        <v>16.337513201972218</v>
      </c>
      <c r="F198" s="9">
        <v>798.66276025139496</v>
      </c>
      <c r="G198" s="9">
        <v>831.56667621619056</v>
      </c>
      <c r="H198" s="9">
        <v>3107.449081707764</v>
      </c>
      <c r="I198" s="24"/>
      <c r="J198" s="9">
        <v>16.04871322545948</v>
      </c>
      <c r="K198" s="9">
        <v>16.232410444346101</v>
      </c>
      <c r="L198" s="22">
        <v>816.86698271993555</v>
      </c>
      <c r="M198" s="22">
        <v>826.21702784928027</v>
      </c>
      <c r="N198" s="22">
        <v>658.8370133573128</v>
      </c>
    </row>
    <row r="199" spans="2:14" x14ac:dyDescent="0.25">
      <c r="B199" s="37">
        <v>195</v>
      </c>
    </row>
    <row r="200" spans="2:14" x14ac:dyDescent="0.25">
      <c r="B200" s="37">
        <v>196</v>
      </c>
    </row>
    <row r="201" spans="2:14" x14ac:dyDescent="0.25">
      <c r="B201" s="37">
        <v>197</v>
      </c>
    </row>
    <row r="202" spans="2:14" x14ac:dyDescent="0.25">
      <c r="B202" s="37">
        <v>198</v>
      </c>
    </row>
    <row r="203" spans="2:14" x14ac:dyDescent="0.25">
      <c r="B203" s="37">
        <v>199</v>
      </c>
    </row>
    <row r="204" spans="2:14" x14ac:dyDescent="0.25">
      <c r="B204" s="37">
        <v>200</v>
      </c>
    </row>
    <row r="205" spans="2:14" x14ac:dyDescent="0.25">
      <c r="B205" s="37">
        <v>201</v>
      </c>
    </row>
    <row r="206" spans="2:14" x14ac:dyDescent="0.25">
      <c r="B206" s="37">
        <v>202</v>
      </c>
    </row>
    <row r="207" spans="2:14" x14ac:dyDescent="0.25">
      <c r="B207" s="37">
        <v>203</v>
      </c>
    </row>
    <row r="208" spans="2:14" x14ac:dyDescent="0.25">
      <c r="B208" s="37">
        <v>204</v>
      </c>
    </row>
    <row r="209" spans="2:2" x14ac:dyDescent="0.25">
      <c r="B209" s="37">
        <v>205</v>
      </c>
    </row>
    <row r="210" spans="2:2" x14ac:dyDescent="0.25">
      <c r="B210" s="37">
        <v>206</v>
      </c>
    </row>
    <row r="211" spans="2:2" x14ac:dyDescent="0.25">
      <c r="B211" s="37">
        <v>207</v>
      </c>
    </row>
    <row r="212" spans="2:2" x14ac:dyDescent="0.25">
      <c r="B212" s="37">
        <v>208</v>
      </c>
    </row>
    <row r="213" spans="2:2" x14ac:dyDescent="0.25">
      <c r="B213" s="37">
        <v>209</v>
      </c>
    </row>
    <row r="214" spans="2:2" x14ac:dyDescent="0.25">
      <c r="B214" s="37">
        <v>210</v>
      </c>
    </row>
    <row r="215" spans="2:2" x14ac:dyDescent="0.25">
      <c r="B215" s="37">
        <v>211</v>
      </c>
    </row>
    <row r="216" spans="2:2" x14ac:dyDescent="0.25">
      <c r="B216" s="37">
        <v>212</v>
      </c>
    </row>
    <row r="217" spans="2:2" x14ac:dyDescent="0.25">
      <c r="B217" s="37">
        <v>213</v>
      </c>
    </row>
    <row r="218" spans="2:2" x14ac:dyDescent="0.25">
      <c r="B218" s="37">
        <v>214</v>
      </c>
    </row>
    <row r="219" spans="2:2" x14ac:dyDescent="0.25">
      <c r="B219" s="37">
        <v>215</v>
      </c>
    </row>
    <row r="220" spans="2:2" x14ac:dyDescent="0.25">
      <c r="B220" s="37">
        <v>216</v>
      </c>
    </row>
    <row r="221" spans="2:2" x14ac:dyDescent="0.25">
      <c r="B221" s="37">
        <v>217</v>
      </c>
    </row>
    <row r="222" spans="2:2" x14ac:dyDescent="0.25">
      <c r="B222" s="37">
        <v>218</v>
      </c>
    </row>
    <row r="223" spans="2:2" x14ac:dyDescent="0.25">
      <c r="B223" s="37">
        <v>219</v>
      </c>
    </row>
    <row r="224" spans="2:2" x14ac:dyDescent="0.25">
      <c r="B224" s="37">
        <v>220</v>
      </c>
    </row>
    <row r="225" spans="2:2" x14ac:dyDescent="0.25">
      <c r="B225" s="37">
        <v>221</v>
      </c>
    </row>
    <row r="226" spans="2:2" x14ac:dyDescent="0.25">
      <c r="B226" s="37">
        <v>222</v>
      </c>
    </row>
    <row r="227" spans="2:2" x14ac:dyDescent="0.25">
      <c r="B227" s="37">
        <v>223</v>
      </c>
    </row>
    <row r="228" spans="2:2" x14ac:dyDescent="0.25">
      <c r="B228" s="37">
        <v>224</v>
      </c>
    </row>
    <row r="229" spans="2:2" x14ac:dyDescent="0.25">
      <c r="B229" s="37">
        <v>225</v>
      </c>
    </row>
    <row r="230" spans="2:2" x14ac:dyDescent="0.25">
      <c r="B230" s="37">
        <v>226</v>
      </c>
    </row>
    <row r="231" spans="2:2" x14ac:dyDescent="0.25">
      <c r="B231" s="37">
        <v>227</v>
      </c>
    </row>
    <row r="232" spans="2:2" x14ac:dyDescent="0.25">
      <c r="B232" s="37">
        <v>228</v>
      </c>
    </row>
    <row r="233" spans="2:2" x14ac:dyDescent="0.25">
      <c r="B233" s="37">
        <v>229</v>
      </c>
    </row>
    <row r="234" spans="2:2" x14ac:dyDescent="0.25">
      <c r="B234" s="37">
        <v>230</v>
      </c>
    </row>
    <row r="235" spans="2:2" x14ac:dyDescent="0.25">
      <c r="B235" s="37">
        <v>231</v>
      </c>
    </row>
    <row r="236" spans="2:2" x14ac:dyDescent="0.25">
      <c r="B236" s="37">
        <v>232</v>
      </c>
    </row>
    <row r="237" spans="2:2" x14ac:dyDescent="0.25">
      <c r="B237" s="37">
        <v>233</v>
      </c>
    </row>
    <row r="238" spans="2:2" x14ac:dyDescent="0.25">
      <c r="B238" s="37">
        <v>234</v>
      </c>
    </row>
    <row r="239" spans="2:2" x14ac:dyDescent="0.25">
      <c r="B239" s="37">
        <v>235</v>
      </c>
    </row>
    <row r="240" spans="2:2" x14ac:dyDescent="0.25">
      <c r="B240" s="37">
        <v>236</v>
      </c>
    </row>
    <row r="241" spans="2:2" x14ac:dyDescent="0.25">
      <c r="B241" s="37">
        <v>237</v>
      </c>
    </row>
    <row r="242" spans="2:2" x14ac:dyDescent="0.25">
      <c r="B242" s="37">
        <v>238</v>
      </c>
    </row>
    <row r="243" spans="2:2" x14ac:dyDescent="0.25">
      <c r="B243" s="37">
        <v>239</v>
      </c>
    </row>
    <row r="244" spans="2:2" x14ac:dyDescent="0.25">
      <c r="B244" s="37">
        <v>240</v>
      </c>
    </row>
    <row r="245" spans="2:2" x14ac:dyDescent="0.25">
      <c r="B245" s="37">
        <v>241</v>
      </c>
    </row>
    <row r="246" spans="2:2" x14ac:dyDescent="0.25">
      <c r="B246" s="37">
        <v>242</v>
      </c>
    </row>
    <row r="247" spans="2:2" x14ac:dyDescent="0.25">
      <c r="B247" s="37">
        <v>243</v>
      </c>
    </row>
    <row r="248" spans="2:2" x14ac:dyDescent="0.25">
      <c r="B248" s="37">
        <v>244</v>
      </c>
    </row>
    <row r="249" spans="2:2" x14ac:dyDescent="0.25">
      <c r="B249" s="37">
        <v>245</v>
      </c>
    </row>
    <row r="250" spans="2:2" x14ac:dyDescent="0.25">
      <c r="B250" s="37">
        <v>246</v>
      </c>
    </row>
    <row r="251" spans="2:2" x14ac:dyDescent="0.25">
      <c r="B251" s="37">
        <v>247</v>
      </c>
    </row>
    <row r="252" spans="2:2" x14ac:dyDescent="0.25">
      <c r="B252" s="37">
        <v>248</v>
      </c>
    </row>
    <row r="253" spans="2:2" x14ac:dyDescent="0.25">
      <c r="B253" s="37">
        <v>249</v>
      </c>
    </row>
    <row r="254" spans="2:2" x14ac:dyDescent="0.25">
      <c r="B254" s="37">
        <v>250</v>
      </c>
    </row>
    <row r="255" spans="2:2" x14ac:dyDescent="0.25">
      <c r="B255" s="37">
        <v>251</v>
      </c>
    </row>
    <row r="256" spans="2:2" x14ac:dyDescent="0.25">
      <c r="B256" s="37">
        <v>252</v>
      </c>
    </row>
    <row r="257" spans="2:2" x14ac:dyDescent="0.25">
      <c r="B257" s="37">
        <v>253</v>
      </c>
    </row>
    <row r="258" spans="2:2" x14ac:dyDescent="0.25">
      <c r="B258" s="37">
        <v>254</v>
      </c>
    </row>
    <row r="259" spans="2:2" x14ac:dyDescent="0.25">
      <c r="B259" s="37">
        <v>255</v>
      </c>
    </row>
    <row r="260" spans="2:2" x14ac:dyDescent="0.25">
      <c r="B260" s="37">
        <v>256</v>
      </c>
    </row>
    <row r="261" spans="2:2" x14ac:dyDescent="0.25">
      <c r="B261" s="37">
        <v>257</v>
      </c>
    </row>
    <row r="262" spans="2:2" x14ac:dyDescent="0.25">
      <c r="B262" s="37">
        <v>258</v>
      </c>
    </row>
    <row r="263" spans="2:2" x14ac:dyDescent="0.25">
      <c r="B263" s="37">
        <v>259</v>
      </c>
    </row>
    <row r="264" spans="2:2" x14ac:dyDescent="0.25">
      <c r="B264" s="37">
        <v>260</v>
      </c>
    </row>
    <row r="265" spans="2:2" x14ac:dyDescent="0.25">
      <c r="B265" s="37">
        <v>261</v>
      </c>
    </row>
    <row r="266" spans="2:2" x14ac:dyDescent="0.25">
      <c r="B266" s="37">
        <v>262</v>
      </c>
    </row>
    <row r="267" spans="2:2" x14ac:dyDescent="0.25">
      <c r="B267" s="37">
        <v>263</v>
      </c>
    </row>
    <row r="268" spans="2:2" x14ac:dyDescent="0.25">
      <c r="B268" s="37">
        <v>264</v>
      </c>
    </row>
    <row r="269" spans="2:2" x14ac:dyDescent="0.25">
      <c r="B269" s="37">
        <v>265</v>
      </c>
    </row>
    <row r="270" spans="2:2" x14ac:dyDescent="0.25">
      <c r="B270" s="37">
        <v>266</v>
      </c>
    </row>
    <row r="271" spans="2:2" x14ac:dyDescent="0.25">
      <c r="B271" s="37">
        <v>267</v>
      </c>
    </row>
    <row r="272" spans="2:2" x14ac:dyDescent="0.25">
      <c r="B272" s="37">
        <v>268</v>
      </c>
    </row>
    <row r="273" spans="2:2" x14ac:dyDescent="0.25">
      <c r="B273" s="37">
        <v>269</v>
      </c>
    </row>
    <row r="274" spans="2:2" x14ac:dyDescent="0.25">
      <c r="B274" s="37">
        <v>270</v>
      </c>
    </row>
    <row r="275" spans="2:2" x14ac:dyDescent="0.25">
      <c r="B275" s="37">
        <v>271</v>
      </c>
    </row>
    <row r="276" spans="2:2" x14ac:dyDescent="0.25">
      <c r="B276" s="37">
        <v>272</v>
      </c>
    </row>
    <row r="277" spans="2:2" x14ac:dyDescent="0.25">
      <c r="B277" s="37">
        <v>273</v>
      </c>
    </row>
    <row r="278" spans="2:2" x14ac:dyDescent="0.25">
      <c r="B278" s="37">
        <v>274</v>
      </c>
    </row>
    <row r="279" spans="2:2" x14ac:dyDescent="0.25">
      <c r="B279" s="37">
        <v>275</v>
      </c>
    </row>
    <row r="280" spans="2:2" x14ac:dyDescent="0.25">
      <c r="B280" s="37">
        <v>276</v>
      </c>
    </row>
    <row r="281" spans="2:2" x14ac:dyDescent="0.25">
      <c r="B281" s="37">
        <v>277</v>
      </c>
    </row>
    <row r="282" spans="2:2" x14ac:dyDescent="0.25">
      <c r="B282" s="37">
        <v>278</v>
      </c>
    </row>
    <row r="283" spans="2:2" x14ac:dyDescent="0.25">
      <c r="B283" s="37">
        <v>279</v>
      </c>
    </row>
    <row r="284" spans="2:2" x14ac:dyDescent="0.25">
      <c r="B284" s="37">
        <v>280</v>
      </c>
    </row>
    <row r="285" spans="2:2" x14ac:dyDescent="0.25">
      <c r="B285" s="37">
        <v>281</v>
      </c>
    </row>
    <row r="286" spans="2:2" x14ac:dyDescent="0.25">
      <c r="B286" s="37">
        <v>282</v>
      </c>
    </row>
    <row r="287" spans="2:2" x14ac:dyDescent="0.25">
      <c r="B287" s="37">
        <v>283</v>
      </c>
    </row>
    <row r="288" spans="2:2" x14ac:dyDescent="0.25">
      <c r="B288" s="37">
        <v>284</v>
      </c>
    </row>
    <row r="289" spans="2:2" x14ac:dyDescent="0.25">
      <c r="B289" s="37">
        <v>285</v>
      </c>
    </row>
    <row r="290" spans="2:2" x14ac:dyDescent="0.25">
      <c r="B290" s="37">
        <v>286</v>
      </c>
    </row>
    <row r="291" spans="2:2" x14ac:dyDescent="0.25">
      <c r="B291" s="37">
        <v>287</v>
      </c>
    </row>
    <row r="292" spans="2:2" x14ac:dyDescent="0.25">
      <c r="B292" s="37">
        <v>288</v>
      </c>
    </row>
    <row r="293" spans="2:2" x14ac:dyDescent="0.25">
      <c r="B293" s="37">
        <v>289</v>
      </c>
    </row>
    <row r="294" spans="2:2" x14ac:dyDescent="0.25">
      <c r="B294" s="37">
        <v>290</v>
      </c>
    </row>
    <row r="295" spans="2:2" x14ac:dyDescent="0.25">
      <c r="B295" s="37">
        <v>291</v>
      </c>
    </row>
    <row r="296" spans="2:2" x14ac:dyDescent="0.25">
      <c r="B296" s="37">
        <v>292</v>
      </c>
    </row>
    <row r="297" spans="2:2" x14ac:dyDescent="0.25">
      <c r="B297" s="37">
        <v>293</v>
      </c>
    </row>
    <row r="298" spans="2:2" x14ac:dyDescent="0.25">
      <c r="B298" s="37">
        <v>294</v>
      </c>
    </row>
    <row r="299" spans="2:2" x14ac:dyDescent="0.25">
      <c r="B299" s="37">
        <v>295</v>
      </c>
    </row>
    <row r="300" spans="2:2" x14ac:dyDescent="0.25">
      <c r="B300" s="37">
        <v>296</v>
      </c>
    </row>
    <row r="301" spans="2:2" x14ac:dyDescent="0.25">
      <c r="B301" s="37">
        <v>297</v>
      </c>
    </row>
    <row r="302" spans="2:2" x14ac:dyDescent="0.25">
      <c r="B302" s="37">
        <v>298</v>
      </c>
    </row>
    <row r="303" spans="2:2" x14ac:dyDescent="0.25">
      <c r="B303" s="37">
        <v>299</v>
      </c>
    </row>
    <row r="304" spans="2:2" x14ac:dyDescent="0.25">
      <c r="B304" s="37">
        <v>300</v>
      </c>
    </row>
    <row r="305" spans="2:2" x14ac:dyDescent="0.25">
      <c r="B305" s="37">
        <v>301</v>
      </c>
    </row>
    <row r="306" spans="2:2" x14ac:dyDescent="0.25">
      <c r="B306" s="37">
        <v>302</v>
      </c>
    </row>
    <row r="307" spans="2:2" x14ac:dyDescent="0.25">
      <c r="B307" s="37">
        <v>303</v>
      </c>
    </row>
    <row r="308" spans="2:2" x14ac:dyDescent="0.25">
      <c r="B308" s="37">
        <v>304</v>
      </c>
    </row>
    <row r="309" spans="2:2" x14ac:dyDescent="0.25">
      <c r="B309" s="37">
        <v>305</v>
      </c>
    </row>
    <row r="310" spans="2:2" x14ac:dyDescent="0.25">
      <c r="B310" s="37">
        <v>306</v>
      </c>
    </row>
    <row r="311" spans="2:2" x14ac:dyDescent="0.25">
      <c r="B311" s="37">
        <v>307</v>
      </c>
    </row>
    <row r="312" spans="2:2" x14ac:dyDescent="0.25">
      <c r="B312" s="37">
        <v>308</v>
      </c>
    </row>
    <row r="313" spans="2:2" x14ac:dyDescent="0.25">
      <c r="B313" s="37">
        <v>309</v>
      </c>
    </row>
    <row r="314" spans="2:2" x14ac:dyDescent="0.25">
      <c r="B314" s="37">
        <v>310</v>
      </c>
    </row>
    <row r="315" spans="2:2" x14ac:dyDescent="0.25">
      <c r="B315" s="37">
        <v>311</v>
      </c>
    </row>
    <row r="316" spans="2:2" x14ac:dyDescent="0.25">
      <c r="B316" s="37">
        <v>312</v>
      </c>
    </row>
    <row r="317" spans="2:2" x14ac:dyDescent="0.25">
      <c r="B317" s="37">
        <v>313</v>
      </c>
    </row>
    <row r="318" spans="2:2" x14ac:dyDescent="0.25">
      <c r="B318" s="37">
        <v>314</v>
      </c>
    </row>
    <row r="319" spans="2:2" x14ac:dyDescent="0.25">
      <c r="B319" s="37">
        <v>315</v>
      </c>
    </row>
    <row r="320" spans="2:2" x14ac:dyDescent="0.25">
      <c r="B320" s="37">
        <v>316</v>
      </c>
    </row>
    <row r="321" spans="2:2" x14ac:dyDescent="0.25">
      <c r="B321" s="37">
        <v>317</v>
      </c>
    </row>
    <row r="322" spans="2:2" x14ac:dyDescent="0.25">
      <c r="B322" s="37">
        <v>318</v>
      </c>
    </row>
    <row r="323" spans="2:2" x14ac:dyDescent="0.25">
      <c r="B323" s="37">
        <v>319</v>
      </c>
    </row>
    <row r="324" spans="2:2" x14ac:dyDescent="0.25">
      <c r="B324" s="37">
        <v>320</v>
      </c>
    </row>
    <row r="325" spans="2:2" x14ac:dyDescent="0.25">
      <c r="B325" s="37">
        <v>321</v>
      </c>
    </row>
    <row r="326" spans="2:2" x14ac:dyDescent="0.25">
      <c r="B326" s="37">
        <v>322</v>
      </c>
    </row>
    <row r="327" spans="2:2" x14ac:dyDescent="0.25">
      <c r="B327" s="37">
        <v>323</v>
      </c>
    </row>
    <row r="328" spans="2:2" x14ac:dyDescent="0.25">
      <c r="B328" s="37">
        <v>324</v>
      </c>
    </row>
    <row r="329" spans="2:2" x14ac:dyDescent="0.25">
      <c r="B329" s="37">
        <v>325</v>
      </c>
    </row>
    <row r="330" spans="2:2" x14ac:dyDescent="0.25">
      <c r="B330" s="37">
        <v>326</v>
      </c>
    </row>
    <row r="331" spans="2:2" x14ac:dyDescent="0.25">
      <c r="B331" s="37">
        <v>327</v>
      </c>
    </row>
    <row r="332" spans="2:2" x14ac:dyDescent="0.25">
      <c r="B332" s="37">
        <v>328</v>
      </c>
    </row>
    <row r="333" spans="2:2" x14ac:dyDescent="0.25">
      <c r="B333" s="37">
        <v>329</v>
      </c>
    </row>
    <row r="334" spans="2:2" x14ac:dyDescent="0.25">
      <c r="B334" s="37">
        <v>330</v>
      </c>
    </row>
    <row r="335" spans="2:2" x14ac:dyDescent="0.25">
      <c r="B335" s="37">
        <v>331</v>
      </c>
    </row>
    <row r="336" spans="2:2" x14ac:dyDescent="0.25">
      <c r="B336" s="37">
        <v>332</v>
      </c>
    </row>
    <row r="337" spans="2:2" x14ac:dyDescent="0.25">
      <c r="B337" s="37">
        <v>333</v>
      </c>
    </row>
    <row r="338" spans="2:2" x14ac:dyDescent="0.25">
      <c r="B338" s="37">
        <v>334</v>
      </c>
    </row>
    <row r="339" spans="2:2" x14ac:dyDescent="0.25">
      <c r="B339" s="37">
        <v>335</v>
      </c>
    </row>
    <row r="340" spans="2:2" x14ac:dyDescent="0.25">
      <c r="B340" s="37">
        <v>336</v>
      </c>
    </row>
    <row r="341" spans="2:2" x14ac:dyDescent="0.25">
      <c r="B341" s="37">
        <v>337</v>
      </c>
    </row>
    <row r="342" spans="2:2" x14ac:dyDescent="0.25">
      <c r="B342" s="37">
        <v>338</v>
      </c>
    </row>
    <row r="343" spans="2:2" x14ac:dyDescent="0.25">
      <c r="B343" s="37">
        <v>339</v>
      </c>
    </row>
    <row r="344" spans="2:2" x14ac:dyDescent="0.25">
      <c r="B344" s="37">
        <v>340</v>
      </c>
    </row>
    <row r="345" spans="2:2" x14ac:dyDescent="0.25">
      <c r="B345" s="37">
        <v>341</v>
      </c>
    </row>
    <row r="346" spans="2:2" x14ac:dyDescent="0.25">
      <c r="B346" s="37">
        <v>342</v>
      </c>
    </row>
    <row r="347" spans="2:2" x14ac:dyDescent="0.25">
      <c r="B347" s="37">
        <v>343</v>
      </c>
    </row>
    <row r="348" spans="2:2" x14ac:dyDescent="0.25">
      <c r="B348" s="37">
        <v>344</v>
      </c>
    </row>
    <row r="349" spans="2:2" x14ac:dyDescent="0.25">
      <c r="B349" s="37">
        <v>345</v>
      </c>
    </row>
    <row r="350" spans="2:2" x14ac:dyDescent="0.25">
      <c r="B350" s="37">
        <v>346</v>
      </c>
    </row>
    <row r="351" spans="2:2" x14ac:dyDescent="0.25">
      <c r="B351" s="37">
        <v>347</v>
      </c>
    </row>
    <row r="352" spans="2:2" x14ac:dyDescent="0.25">
      <c r="B352" s="37">
        <v>348</v>
      </c>
    </row>
    <row r="353" spans="2:2" x14ac:dyDescent="0.25">
      <c r="B353" s="37">
        <v>349</v>
      </c>
    </row>
    <row r="354" spans="2:2" x14ac:dyDescent="0.25">
      <c r="B354" s="37">
        <v>350</v>
      </c>
    </row>
  </sheetData>
  <mergeCells count="2">
    <mergeCell ref="R25:T25"/>
    <mergeCell ref="R34:T34"/>
  </mergeCells>
  <conditionalFormatting sqref="E8:E198">
    <cfRule type="cellIs" dxfId="5" priority="1" operator="greaterThan">
      <formula>K8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9C9A2F-F670-42F4-BA96-361D64BCAB74}">
  <sheetPr codeName="Sheet16">
    <tabColor theme="6" tint="0.79998168889431442"/>
  </sheetPr>
  <dimension ref="A1:AF354"/>
  <sheetViews>
    <sheetView topLeftCell="M1" zoomScale="70" zoomScaleNormal="70" workbookViewId="0">
      <selection activeCell="T7" sqref="T7:T10"/>
    </sheetView>
  </sheetViews>
  <sheetFormatPr defaultColWidth="9.140625" defaultRowHeight="15" x14ac:dyDescent="0.25"/>
  <cols>
    <col min="1" max="1" width="3.28515625" style="10" customWidth="1"/>
    <col min="2" max="2" width="12.85546875" style="10" customWidth="1"/>
    <col min="3" max="3" width="2.85546875" style="10" customWidth="1"/>
    <col min="4" max="8" width="18.5703125" style="10" customWidth="1"/>
    <col min="9" max="9" width="4.42578125" style="10" customWidth="1"/>
    <col min="10" max="14" width="18.5703125" style="10" customWidth="1"/>
    <col min="15" max="15" width="4.140625" style="10" customWidth="1"/>
    <col min="16" max="16" width="20.140625" style="10" customWidth="1"/>
    <col min="17" max="17" width="33.7109375" style="10" customWidth="1"/>
    <col min="18" max="18" width="17.85546875" style="10" bestFit="1" customWidth="1"/>
    <col min="19" max="21" width="20.140625" style="10" bestFit="1" customWidth="1"/>
    <col min="22" max="29" width="21.7109375" style="10" bestFit="1" customWidth="1"/>
    <col min="30" max="16384" width="9.140625" style="10"/>
  </cols>
  <sheetData>
    <row r="1" spans="1:29" x14ac:dyDescent="0.25">
      <c r="A1"/>
      <c r="B1"/>
      <c r="C1"/>
      <c r="D1"/>
      <c r="E1"/>
      <c r="F1"/>
    </row>
    <row r="2" spans="1:29" x14ac:dyDescent="0.25">
      <c r="A2"/>
      <c r="B2"/>
      <c r="C2"/>
      <c r="D2"/>
      <c r="E2"/>
      <c r="F2"/>
    </row>
    <row r="3" spans="1:29" x14ac:dyDescent="0.25">
      <c r="A3"/>
      <c r="B3"/>
      <c r="C3"/>
      <c r="D3"/>
      <c r="E3"/>
      <c r="F3"/>
    </row>
    <row r="4" spans="1:29" ht="15.75" thickBot="1" x14ac:dyDescent="0.3">
      <c r="A4"/>
      <c r="B4"/>
      <c r="C4"/>
      <c r="D4"/>
      <c r="E4"/>
      <c r="F4"/>
    </row>
    <row r="5" spans="1:29" ht="30.75" customHeight="1" thickBot="1" x14ac:dyDescent="0.3">
      <c r="B5" s="3" t="s">
        <v>41</v>
      </c>
      <c r="D5" s="3" t="s">
        <v>46</v>
      </c>
      <c r="E5" s="4"/>
      <c r="F5" s="4"/>
      <c r="G5" s="4"/>
      <c r="H5" s="4"/>
      <c r="J5" s="3" t="s">
        <v>44</v>
      </c>
      <c r="K5" s="4"/>
      <c r="L5" s="4"/>
      <c r="M5" s="4"/>
      <c r="N5" s="4"/>
      <c r="P5" s="3" t="s">
        <v>41</v>
      </c>
      <c r="Q5" s="3" t="s">
        <v>41</v>
      </c>
      <c r="R5" s="44" t="s">
        <v>36</v>
      </c>
      <c r="S5" s="45"/>
      <c r="T5" s="45"/>
      <c r="U5" s="45"/>
      <c r="V5" s="45"/>
      <c r="W5" s="45"/>
      <c r="X5" s="45"/>
      <c r="Y5" s="45"/>
      <c r="Z5" s="45"/>
      <c r="AA5" s="45"/>
      <c r="AB5" s="45"/>
      <c r="AC5" s="45"/>
    </row>
    <row r="6" spans="1:29" ht="45.75" thickBot="1" x14ac:dyDescent="0.3">
      <c r="B6" s="1" t="s">
        <v>4</v>
      </c>
      <c r="D6" s="1" t="s">
        <v>31</v>
      </c>
      <c r="E6" s="1" t="s">
        <v>32</v>
      </c>
      <c r="F6" s="1" t="s">
        <v>33</v>
      </c>
      <c r="G6" s="1" t="s">
        <v>34</v>
      </c>
      <c r="H6" s="1" t="s">
        <v>0</v>
      </c>
      <c r="J6" s="1" t="s">
        <v>31</v>
      </c>
      <c r="K6" s="1" t="s">
        <v>32</v>
      </c>
      <c r="L6" s="1" t="s">
        <v>33</v>
      </c>
      <c r="M6" s="1" t="s">
        <v>34</v>
      </c>
      <c r="N6" s="1" t="s">
        <v>0</v>
      </c>
      <c r="P6" s="1" t="s">
        <v>40</v>
      </c>
      <c r="Q6" s="1" t="s">
        <v>35</v>
      </c>
      <c r="R6" s="38">
        <v>1</v>
      </c>
      <c r="S6" s="38">
        <v>3</v>
      </c>
      <c r="T6" s="38">
        <v>5</v>
      </c>
      <c r="U6" s="38">
        <v>8</v>
      </c>
      <c r="V6" s="38">
        <v>10</v>
      </c>
      <c r="W6" s="38">
        <v>13</v>
      </c>
      <c r="X6" s="38">
        <v>16</v>
      </c>
      <c r="Y6" s="38">
        <v>20</v>
      </c>
      <c r="Z6" s="38">
        <v>25</v>
      </c>
      <c r="AA6" s="38">
        <v>30</v>
      </c>
      <c r="AB6" s="38">
        <v>35</v>
      </c>
      <c r="AC6" s="38">
        <v>40</v>
      </c>
    </row>
    <row r="7" spans="1:29" x14ac:dyDescent="0.25">
      <c r="B7" s="17"/>
      <c r="D7" s="18" t="s">
        <v>1</v>
      </c>
      <c r="E7" s="18" t="s">
        <v>1</v>
      </c>
      <c r="F7" s="18" t="s">
        <v>2</v>
      </c>
      <c r="G7" s="18" t="s">
        <v>2</v>
      </c>
      <c r="H7" s="18" t="s">
        <v>3</v>
      </c>
      <c r="J7" s="18" t="s">
        <v>1</v>
      </c>
      <c r="K7" s="18" t="s">
        <v>1</v>
      </c>
      <c r="L7" s="18" t="s">
        <v>2</v>
      </c>
      <c r="M7" s="18" t="s">
        <v>2</v>
      </c>
      <c r="N7" s="18" t="s">
        <v>3</v>
      </c>
      <c r="P7" s="42">
        <v>1</v>
      </c>
      <c r="Q7" s="39">
        <v>75</v>
      </c>
      <c r="R7" s="39"/>
      <c r="S7" s="39"/>
      <c r="T7" s="39">
        <v>4</v>
      </c>
      <c r="U7" s="39">
        <v>4</v>
      </c>
      <c r="V7" s="26">
        <v>4</v>
      </c>
      <c r="W7" s="26">
        <v>4</v>
      </c>
      <c r="X7" s="26">
        <v>4</v>
      </c>
      <c r="Y7" s="26">
        <v>4</v>
      </c>
      <c r="Z7" s="26">
        <v>4</v>
      </c>
      <c r="AA7" s="26">
        <v>4</v>
      </c>
      <c r="AB7" s="26">
        <v>4</v>
      </c>
      <c r="AC7" s="26">
        <v>4</v>
      </c>
    </row>
    <row r="8" spans="1:29" x14ac:dyDescent="0.25">
      <c r="B8" s="37">
        <v>4</v>
      </c>
      <c r="C8" s="24"/>
      <c r="D8" s="9">
        <v>2.914709217808007</v>
      </c>
      <c r="E8" s="9">
        <v>3.2233152459785779</v>
      </c>
      <c r="F8" s="9">
        <v>185.44553158315932</v>
      </c>
      <c r="G8" s="9">
        <v>205.080289175513</v>
      </c>
      <c r="H8" s="9">
        <v>1467.8506022660195</v>
      </c>
      <c r="I8" s="24"/>
      <c r="J8" s="9">
        <v>2.686976579014476</v>
      </c>
      <c r="K8" s="9">
        <v>2.8578546051187956</v>
      </c>
      <c r="L8" s="22">
        <v>170.95626452287181</v>
      </c>
      <c r="M8" s="22">
        <v>181.8282122949476</v>
      </c>
      <c r="N8" s="22">
        <v>612.91413316992509</v>
      </c>
      <c r="O8" s="21"/>
      <c r="P8" s="42">
        <v>2</v>
      </c>
      <c r="Q8" s="39">
        <v>50</v>
      </c>
      <c r="R8" s="39"/>
      <c r="S8" s="39"/>
      <c r="T8" s="39">
        <v>4</v>
      </c>
      <c r="U8" s="39">
        <v>4</v>
      </c>
      <c r="V8" s="26">
        <v>4</v>
      </c>
      <c r="W8" s="26">
        <v>4</v>
      </c>
      <c r="X8" s="26">
        <v>4</v>
      </c>
      <c r="Y8" s="26">
        <v>4</v>
      </c>
      <c r="Z8" s="26">
        <v>4</v>
      </c>
      <c r="AA8" s="26">
        <v>4</v>
      </c>
      <c r="AB8" s="26">
        <v>4</v>
      </c>
      <c r="AC8" s="26">
        <v>4</v>
      </c>
    </row>
    <row r="9" spans="1:29" x14ac:dyDescent="0.25">
      <c r="B9" s="37">
        <v>5</v>
      </c>
      <c r="C9" s="24"/>
      <c r="D9" s="9">
        <v>3.4199208779938783</v>
      </c>
      <c r="E9" s="9">
        <v>3.8056767035104966</v>
      </c>
      <c r="F9" s="9">
        <v>174.07130462746431</v>
      </c>
      <c r="G9" s="9">
        <v>193.70597519759508</v>
      </c>
      <c r="H9" s="9">
        <v>1834.805120848861</v>
      </c>
      <c r="I9" s="24"/>
      <c r="J9" s="9">
        <v>3.3613873970641746</v>
      </c>
      <c r="K9" s="9">
        <v>3.5749864076627338</v>
      </c>
      <c r="L9" s="22">
        <v>171.09199611322839</v>
      </c>
      <c r="M9" s="22">
        <v>181.96401911273045</v>
      </c>
      <c r="N9" s="22">
        <v>766.14794718636028</v>
      </c>
      <c r="O9" s="21"/>
      <c r="P9" s="42">
        <v>3</v>
      </c>
      <c r="Q9" s="39">
        <v>35</v>
      </c>
      <c r="R9" s="39"/>
      <c r="S9" s="39"/>
      <c r="T9" s="39">
        <v>4</v>
      </c>
      <c r="U9" s="39">
        <v>4</v>
      </c>
      <c r="V9" s="26">
        <v>4</v>
      </c>
      <c r="W9" s="26">
        <v>4</v>
      </c>
      <c r="X9" s="26">
        <v>4</v>
      </c>
      <c r="Y9" s="26">
        <v>4</v>
      </c>
      <c r="Z9" s="26">
        <v>4</v>
      </c>
      <c r="AA9" s="26">
        <v>4</v>
      </c>
      <c r="AB9" s="26">
        <v>4</v>
      </c>
      <c r="AC9" s="26">
        <v>4</v>
      </c>
    </row>
    <row r="10" spans="1:29" x14ac:dyDescent="0.25">
      <c r="B10" s="37">
        <v>6</v>
      </c>
      <c r="C10" s="24"/>
      <c r="D10" s="9">
        <v>3.9254764624463698</v>
      </c>
      <c r="E10" s="9">
        <v>4.3885097426549446</v>
      </c>
      <c r="F10" s="9">
        <v>166.5030745543821</v>
      </c>
      <c r="G10" s="9">
        <v>186.14310182579302</v>
      </c>
      <c r="H10" s="9">
        <v>2202.3668275452892</v>
      </c>
      <c r="I10" s="24"/>
      <c r="J10" s="9">
        <v>4.031019446867024</v>
      </c>
      <c r="K10" s="9">
        <v>4.2873393926942178</v>
      </c>
      <c r="L10" s="22">
        <v>170.97978752713865</v>
      </c>
      <c r="M10" s="22">
        <v>181.85185858860754</v>
      </c>
      <c r="N10" s="22">
        <v>919.38158517866179</v>
      </c>
      <c r="O10" s="21"/>
      <c r="P10" s="43"/>
      <c r="Q10" s="39">
        <v>25</v>
      </c>
      <c r="R10" s="39"/>
      <c r="S10" s="39"/>
      <c r="T10" s="39">
        <v>4</v>
      </c>
      <c r="U10" s="39">
        <v>4</v>
      </c>
      <c r="V10" s="26">
        <v>4</v>
      </c>
      <c r="W10" s="26">
        <v>4</v>
      </c>
      <c r="X10" s="26">
        <v>4</v>
      </c>
      <c r="Y10" s="26">
        <v>4</v>
      </c>
      <c r="Z10" s="26">
        <v>4</v>
      </c>
      <c r="AA10" s="26">
        <v>4</v>
      </c>
      <c r="AB10" s="26">
        <v>4</v>
      </c>
      <c r="AC10" s="26">
        <v>4</v>
      </c>
    </row>
    <row r="11" spans="1:29" ht="15.75" thickBot="1" x14ac:dyDescent="0.3">
      <c r="B11" s="37">
        <v>7</v>
      </c>
      <c r="C11" s="21"/>
      <c r="D11" s="9">
        <v>4.431390932224021</v>
      </c>
      <c r="E11" s="9">
        <v>4.9718247652795542</v>
      </c>
      <c r="F11" s="9">
        <v>161.11024377579835</v>
      </c>
      <c r="G11" s="9">
        <v>180.75857269101951</v>
      </c>
      <c r="H11" s="9">
        <v>2570.5140370655386</v>
      </c>
      <c r="I11" s="24"/>
      <c r="J11" s="9">
        <v>4.6906618553854864</v>
      </c>
      <c r="K11" s="9">
        <v>4.9897003224266516</v>
      </c>
      <c r="L11" s="22">
        <v>170.53644928855726</v>
      </c>
      <c r="M11" s="22">
        <v>181.40846691467169</v>
      </c>
      <c r="N11" s="22">
        <v>1072.6065979885068</v>
      </c>
      <c r="O11" s="21"/>
      <c r="P11" s="43"/>
      <c r="Q11" s="39">
        <v>10</v>
      </c>
      <c r="R11" s="39"/>
      <c r="S11" s="39"/>
      <c r="T11" s="39"/>
      <c r="U11" s="39">
        <v>4</v>
      </c>
      <c r="V11" s="26">
        <v>4</v>
      </c>
      <c r="W11" s="26">
        <v>4</v>
      </c>
      <c r="X11" s="26">
        <v>4</v>
      </c>
      <c r="Y11" s="26">
        <v>4</v>
      </c>
      <c r="Z11" s="26">
        <v>4</v>
      </c>
      <c r="AA11" s="26">
        <v>4</v>
      </c>
      <c r="AB11" s="26">
        <v>4</v>
      </c>
      <c r="AC11" s="26">
        <v>4</v>
      </c>
    </row>
    <row r="12" spans="1:29" ht="15.75" thickBot="1" x14ac:dyDescent="0.3">
      <c r="B12" s="37">
        <v>8</v>
      </c>
      <c r="C12" s="21"/>
      <c r="D12" s="9">
        <v>4.4962230255331637</v>
      </c>
      <c r="E12" s="9">
        <v>5.038055390405118</v>
      </c>
      <c r="F12" s="9">
        <v>163.46731732613148</v>
      </c>
      <c r="G12" s="9">
        <v>183.16649208305739</v>
      </c>
      <c r="H12" s="9">
        <v>2577.1659997027955</v>
      </c>
      <c r="I12" s="24"/>
      <c r="J12" s="9">
        <v>4.7695454936717683</v>
      </c>
      <c r="K12" s="9">
        <v>5.0685932719123494</v>
      </c>
      <c r="L12" s="22">
        <v>173.40438903673166</v>
      </c>
      <c r="M12" s="22">
        <v>184.27674518626472</v>
      </c>
      <c r="N12" s="22">
        <v>1072.6398665494157</v>
      </c>
      <c r="O12" s="21"/>
      <c r="P12" s="21"/>
      <c r="Q12" s="7" t="s">
        <v>27</v>
      </c>
      <c r="R12" s="41"/>
      <c r="S12" s="41"/>
      <c r="T12" s="41"/>
      <c r="U12" s="41"/>
    </row>
    <row r="13" spans="1:29" x14ac:dyDescent="0.25">
      <c r="B13" s="37">
        <v>9</v>
      </c>
      <c r="C13" s="21"/>
      <c r="D13" s="9">
        <v>4.4519246334819798</v>
      </c>
      <c r="E13" s="9">
        <v>4.9764485228285551</v>
      </c>
      <c r="F13" s="9">
        <v>167.85147456349171</v>
      </c>
      <c r="G13" s="9">
        <v>187.62766475513476</v>
      </c>
      <c r="H13" s="9">
        <v>2494.8401411483114</v>
      </c>
      <c r="I13" s="24"/>
      <c r="J13" s="9">
        <v>4.6774402307442173</v>
      </c>
      <c r="K13" s="9">
        <v>4.9658173203886733</v>
      </c>
      <c r="L13" s="22">
        <v>176.35411749972829</v>
      </c>
      <c r="M13" s="22">
        <v>187.2268351920068</v>
      </c>
      <c r="N13" s="22">
        <v>1034.3655617268753</v>
      </c>
      <c r="O13" s="21"/>
      <c r="P13" s="21"/>
      <c r="Q13" s="39">
        <v>75</v>
      </c>
      <c r="R13" s="40"/>
      <c r="S13" s="40"/>
      <c r="T13" s="40"/>
      <c r="U13" s="40"/>
      <c r="V13" s="26"/>
      <c r="W13" s="26"/>
      <c r="X13" s="26"/>
      <c r="Y13" s="26"/>
      <c r="Z13" s="26"/>
      <c r="AA13" s="26"/>
      <c r="AB13" s="26"/>
      <c r="AC13" s="26"/>
    </row>
    <row r="14" spans="1:29" x14ac:dyDescent="0.25">
      <c r="B14" s="37">
        <v>10</v>
      </c>
      <c r="C14" s="21"/>
      <c r="D14" s="9">
        <v>4.8477570435836617</v>
      </c>
      <c r="E14" s="9">
        <v>5.4307419596981843</v>
      </c>
      <c r="F14" s="9">
        <v>164.49803434996269</v>
      </c>
      <c r="G14" s="9">
        <v>184.28035262506006</v>
      </c>
      <c r="H14" s="9">
        <v>2772.9035796985008</v>
      </c>
      <c r="I14" s="24"/>
      <c r="J14" s="9">
        <v>5.198371564290647</v>
      </c>
      <c r="K14" s="9">
        <v>5.5187921511796878</v>
      </c>
      <c r="L14" s="22">
        <v>176.39537139724538</v>
      </c>
      <c r="M14" s="22">
        <v>187.26814332756976</v>
      </c>
      <c r="N14" s="22">
        <v>1149.3007795905817</v>
      </c>
      <c r="O14" s="21"/>
      <c r="P14" s="21"/>
      <c r="Q14" s="39">
        <v>50</v>
      </c>
      <c r="R14" s="39"/>
      <c r="S14" s="39"/>
      <c r="T14" s="39"/>
      <c r="U14" s="39"/>
      <c r="V14" s="26"/>
      <c r="W14" s="26"/>
      <c r="X14" s="26"/>
      <c r="Y14" s="26"/>
      <c r="Z14" s="26"/>
      <c r="AA14" s="26"/>
      <c r="AB14" s="26"/>
      <c r="AC14" s="26"/>
    </row>
    <row r="15" spans="1:29" x14ac:dyDescent="0.25">
      <c r="B15" s="37">
        <v>11</v>
      </c>
      <c r="C15" s="21"/>
      <c r="D15" s="9">
        <v>4.637425776096781</v>
      </c>
      <c r="E15" s="9">
        <v>5.1744302041903403</v>
      </c>
      <c r="F15" s="9">
        <v>171.66643934580796</v>
      </c>
      <c r="G15" s="9">
        <v>191.54506221432183</v>
      </c>
      <c r="H15" s="9">
        <v>2554.2024498658725</v>
      </c>
      <c r="I15" s="24"/>
      <c r="J15" s="9">
        <v>4.8996360893435673</v>
      </c>
      <c r="K15" s="9">
        <v>5.1933699538244156</v>
      </c>
      <c r="L15" s="22">
        <v>181.37283962219382</v>
      </c>
      <c r="M15" s="22">
        <v>192.24616656375241</v>
      </c>
      <c r="N15" s="22">
        <v>1053.5792846354752</v>
      </c>
      <c r="O15" s="21"/>
      <c r="P15" s="21"/>
      <c r="Q15" s="39">
        <v>35</v>
      </c>
      <c r="R15" s="39"/>
      <c r="S15" s="39"/>
      <c r="T15" s="39"/>
      <c r="U15" s="39"/>
      <c r="V15" s="26"/>
      <c r="W15" s="26"/>
      <c r="X15" s="26"/>
      <c r="Y15" s="26"/>
      <c r="Z15" s="26"/>
      <c r="AA15" s="26"/>
      <c r="AB15" s="26"/>
      <c r="AC15" s="26"/>
    </row>
    <row r="16" spans="1:29" x14ac:dyDescent="0.25">
      <c r="B16" s="37">
        <v>12</v>
      </c>
      <c r="C16" s="21"/>
      <c r="D16" s="9">
        <v>4.3168938957922354</v>
      </c>
      <c r="E16" s="9">
        <v>4.7889475352470763</v>
      </c>
      <c r="F16" s="9">
        <v>183.10544288081348</v>
      </c>
      <c r="G16" s="9">
        <v>203.12807785920131</v>
      </c>
      <c r="H16" s="9">
        <v>2245.2711733572323</v>
      </c>
      <c r="I16" s="24"/>
      <c r="J16" s="9">
        <v>4.4320661056147053</v>
      </c>
      <c r="K16" s="9">
        <v>4.6884323611109311</v>
      </c>
      <c r="L16" s="22">
        <v>187.99058923747072</v>
      </c>
      <c r="M16" s="22">
        <v>198.8646245706272</v>
      </c>
      <c r="N16" s="22">
        <v>919.54704786254717</v>
      </c>
      <c r="O16" s="21"/>
      <c r="P16" s="21"/>
      <c r="Q16" s="39">
        <v>25</v>
      </c>
      <c r="R16" s="39"/>
      <c r="S16" s="39"/>
      <c r="T16" s="39"/>
      <c r="U16" s="39"/>
      <c r="V16" s="26"/>
      <c r="W16" s="26"/>
      <c r="X16" s="26"/>
      <c r="Y16" s="26"/>
      <c r="Z16" s="26"/>
      <c r="AA16" s="26"/>
      <c r="AB16" s="26"/>
      <c r="AC16" s="26"/>
    </row>
    <row r="17" spans="2:29" ht="15.75" thickBot="1" x14ac:dyDescent="0.3">
      <c r="B17" s="37">
        <v>13</v>
      </c>
      <c r="C17" s="21"/>
      <c r="D17" s="9">
        <v>4.6021651654352391</v>
      </c>
      <c r="E17" s="9">
        <v>5.1135887124807509</v>
      </c>
      <c r="F17" s="9">
        <v>180.18970502037988</v>
      </c>
      <c r="G17" s="9">
        <v>200.21359698643278</v>
      </c>
      <c r="H17" s="9">
        <v>2432.5298050524743</v>
      </c>
      <c r="I17" s="24"/>
      <c r="J17" s="9">
        <v>4.8044353214638935</v>
      </c>
      <c r="K17" s="9">
        <v>5.0821678332830693</v>
      </c>
      <c r="L17" s="22">
        <v>188.10923820510044</v>
      </c>
      <c r="M17" s="22">
        <v>198.98336757253998</v>
      </c>
      <c r="N17" s="22">
        <v>996.18454969418428</v>
      </c>
      <c r="O17" s="21"/>
      <c r="P17" s="21"/>
      <c r="Q17" s="39">
        <v>10</v>
      </c>
      <c r="R17" s="39"/>
      <c r="S17" s="39"/>
      <c r="T17" s="39"/>
      <c r="U17" s="39"/>
      <c r="V17" s="26"/>
      <c r="W17" s="26"/>
      <c r="X17" s="26"/>
      <c r="Y17" s="26"/>
      <c r="Z17" s="26"/>
      <c r="AA17" s="26"/>
      <c r="AB17" s="26"/>
      <c r="AC17" s="26"/>
    </row>
    <row r="18" spans="2:29" ht="15.75" thickBot="1" x14ac:dyDescent="0.3">
      <c r="B18" s="37">
        <v>14</v>
      </c>
      <c r="C18" s="21"/>
      <c r="D18" s="9">
        <v>4.8876388100151198</v>
      </c>
      <c r="E18" s="9">
        <v>5.438491534133334</v>
      </c>
      <c r="F18" s="9">
        <v>177.69785880172506</v>
      </c>
      <c r="G18" s="9">
        <v>197.72498302177382</v>
      </c>
      <c r="H18" s="9">
        <v>2620.0703455147345</v>
      </c>
      <c r="I18" s="24"/>
      <c r="J18" s="9">
        <v>5.1722026587822558</v>
      </c>
      <c r="K18" s="9">
        <v>5.471299209972134</v>
      </c>
      <c r="L18" s="22">
        <v>188.04362872946274</v>
      </c>
      <c r="M18" s="22">
        <v>198.91775809690213</v>
      </c>
      <c r="N18" s="22">
        <v>1072.8141304398912</v>
      </c>
      <c r="O18" s="21"/>
      <c r="P18" s="21"/>
      <c r="Q18" s="7" t="s">
        <v>30</v>
      </c>
      <c r="R18" s="41"/>
      <c r="S18" s="41"/>
      <c r="T18" s="41"/>
      <c r="U18" s="41"/>
    </row>
    <row r="19" spans="2:29" x14ac:dyDescent="0.25">
      <c r="B19" s="37">
        <v>15</v>
      </c>
      <c r="C19" s="21"/>
      <c r="D19" s="9">
        <v>4.5123083937286346</v>
      </c>
      <c r="E19" s="9">
        <v>4.9887958463585989</v>
      </c>
      <c r="F19" s="9">
        <v>191.39414745723428</v>
      </c>
      <c r="G19" s="9">
        <v>211.60484712858877</v>
      </c>
      <c r="H19" s="9">
        <v>2266.3601176595394</v>
      </c>
      <c r="I19" s="24"/>
      <c r="J19" s="9">
        <v>4.6469688211201579</v>
      </c>
      <c r="K19" s="9">
        <v>4.9033607439967763</v>
      </c>
      <c r="L19" s="22">
        <v>197.10590637261515</v>
      </c>
      <c r="M19" s="22">
        <v>207.98103041380287</v>
      </c>
      <c r="N19" s="22">
        <v>919.63875643521146</v>
      </c>
      <c r="O19" s="21"/>
      <c r="P19" s="21"/>
      <c r="Q19" s="39">
        <v>75</v>
      </c>
      <c r="R19" s="40"/>
      <c r="S19" s="40"/>
      <c r="T19" s="40"/>
      <c r="U19" s="40"/>
      <c r="V19" s="26"/>
      <c r="W19" s="26"/>
      <c r="X19" s="26"/>
      <c r="Y19" s="26"/>
      <c r="Z19" s="26"/>
      <c r="AA19" s="26"/>
      <c r="AB19" s="26"/>
      <c r="AC19" s="26"/>
    </row>
    <row r="20" spans="2:29" x14ac:dyDescent="0.25">
      <c r="B20" s="37">
        <v>16</v>
      </c>
      <c r="C20" s="21"/>
      <c r="D20" s="9">
        <v>4.7543611821698688</v>
      </c>
      <c r="E20" s="9">
        <v>5.2628494912673798</v>
      </c>
      <c r="F20" s="9">
        <v>189.05724612661547</v>
      </c>
      <c r="G20" s="9">
        <v>209.27729162212401</v>
      </c>
      <c r="H20" s="9">
        <v>2418.5686688578726</v>
      </c>
      <c r="I20" s="24"/>
      <c r="J20" s="9">
        <v>4.9564907483061011</v>
      </c>
      <c r="K20" s="9">
        <v>5.2299767502312768</v>
      </c>
      <c r="L20" s="22">
        <v>197.09493145809526</v>
      </c>
      <c r="M20" s="22">
        <v>207.97010656512285</v>
      </c>
      <c r="N20" s="22">
        <v>980.95259522659319</v>
      </c>
      <c r="O20" s="21"/>
      <c r="P20" s="21"/>
      <c r="Q20" s="39">
        <v>50</v>
      </c>
      <c r="R20" s="39"/>
      <c r="S20" s="39"/>
      <c r="T20" s="39"/>
      <c r="U20" s="39"/>
      <c r="V20" s="26"/>
      <c r="W20" s="26"/>
      <c r="X20" s="26"/>
      <c r="Y20" s="26"/>
      <c r="Z20" s="26"/>
      <c r="AA20" s="26"/>
      <c r="AB20" s="26"/>
      <c r="AC20" s="26"/>
    </row>
    <row r="21" spans="2:29" x14ac:dyDescent="0.25">
      <c r="B21" s="37">
        <v>17</v>
      </c>
      <c r="C21" s="21"/>
      <c r="D21" s="9">
        <v>4.9954443350514479</v>
      </c>
      <c r="E21" s="9">
        <v>5.5356861645087916</v>
      </c>
      <c r="F21" s="9">
        <v>186.95898488377375</v>
      </c>
      <c r="G21" s="9">
        <v>207.17801991903403</v>
      </c>
      <c r="H21" s="9">
        <v>2569.6007930861269</v>
      </c>
      <c r="I21" s="24"/>
      <c r="J21" s="9">
        <v>5.262276439666639</v>
      </c>
      <c r="K21" s="9">
        <v>5.5528545007505468</v>
      </c>
      <c r="L21" s="22">
        <v>196.94541573302135</v>
      </c>
      <c r="M21" s="22">
        <v>207.82056030195449</v>
      </c>
      <c r="N21" s="22">
        <v>1042.2592170285734</v>
      </c>
      <c r="O21" s="21"/>
      <c r="P21" s="21"/>
      <c r="Q21" s="39">
        <v>35</v>
      </c>
      <c r="R21" s="39"/>
      <c r="S21" s="39"/>
      <c r="T21" s="39"/>
      <c r="U21" s="39"/>
      <c r="V21" s="26"/>
      <c r="W21" s="26"/>
      <c r="X21" s="26"/>
      <c r="Y21" s="26"/>
      <c r="Z21" s="26"/>
      <c r="AA21" s="26"/>
      <c r="AB21" s="26"/>
      <c r="AC21" s="26"/>
    </row>
    <row r="22" spans="2:29" x14ac:dyDescent="0.25">
      <c r="B22" s="37">
        <v>18</v>
      </c>
      <c r="C22" s="21"/>
      <c r="D22" s="9">
        <v>4.641927944312509</v>
      </c>
      <c r="E22" s="9">
        <v>5.1115465876286033</v>
      </c>
      <c r="F22" s="9">
        <v>201.94060764981649</v>
      </c>
      <c r="G22" s="9">
        <v>222.37071241073386</v>
      </c>
      <c r="H22" s="9">
        <v>2233.6893822627426</v>
      </c>
      <c r="I22" s="24"/>
      <c r="J22" s="9">
        <v>4.7687482643459065</v>
      </c>
      <c r="K22" s="9">
        <v>5.0187570960352721</v>
      </c>
      <c r="L22" s="22">
        <v>207.45774897495644</v>
      </c>
      <c r="M22" s="22">
        <v>218.33403486195084</v>
      </c>
      <c r="N22" s="22">
        <v>896.74321020617469</v>
      </c>
      <c r="O22" s="21"/>
      <c r="P22" s="21"/>
      <c r="Q22" s="39">
        <v>25</v>
      </c>
      <c r="R22" s="39"/>
      <c r="S22" s="39"/>
      <c r="T22" s="39"/>
      <c r="U22" s="39"/>
      <c r="V22" s="26"/>
      <c r="W22" s="26"/>
      <c r="X22" s="26"/>
      <c r="Y22" s="26"/>
      <c r="Z22" s="26"/>
      <c r="AA22" s="26"/>
      <c r="AB22" s="26"/>
      <c r="AC22" s="26"/>
    </row>
    <row r="23" spans="2:29" x14ac:dyDescent="0.25">
      <c r="B23" s="37">
        <v>19</v>
      </c>
      <c r="C23" s="21"/>
      <c r="D23" s="9">
        <v>4.8503084288416662</v>
      </c>
      <c r="E23" s="9">
        <v>5.3460731634857526</v>
      </c>
      <c r="F23" s="9">
        <v>199.90033606810115</v>
      </c>
      <c r="G23" s="9">
        <v>220.33275568017382</v>
      </c>
      <c r="H23" s="9">
        <v>2358.0503875554905</v>
      </c>
      <c r="I23" s="24"/>
      <c r="J23" s="9">
        <v>5.0278878595385921</v>
      </c>
      <c r="K23" s="9">
        <v>5.2917853564149775</v>
      </c>
      <c r="L23" s="22">
        <v>207.2190846375762</v>
      </c>
      <c r="M23" s="22">
        <v>218.09534108333759</v>
      </c>
      <c r="N23" s="22">
        <v>946.55972508994046</v>
      </c>
      <c r="O23" s="21"/>
      <c r="P23" s="21"/>
      <c r="Q23" s="39">
        <v>10</v>
      </c>
      <c r="R23" s="39"/>
      <c r="S23" s="39"/>
      <c r="T23" s="39"/>
      <c r="U23" s="39"/>
      <c r="V23" s="26"/>
      <c r="W23" s="26"/>
      <c r="X23" s="26"/>
      <c r="Y23" s="26"/>
      <c r="Z23" s="26"/>
      <c r="AA23" s="26"/>
      <c r="AB23" s="26"/>
      <c r="AC23" s="26"/>
    </row>
    <row r="24" spans="2:29" x14ac:dyDescent="0.25">
      <c r="B24" s="37">
        <v>20</v>
      </c>
      <c r="C24" s="21"/>
      <c r="D24" s="9">
        <v>5.0595946941285348</v>
      </c>
      <c r="E24" s="9">
        <v>5.5817437378264723</v>
      </c>
      <c r="F24" s="9">
        <v>198.09955590141868</v>
      </c>
      <c r="G24" s="9">
        <v>218.54338587676179</v>
      </c>
      <c r="H24" s="9">
        <v>2483.5444492387733</v>
      </c>
      <c r="I24" s="24"/>
      <c r="J24" s="9">
        <v>5.2937583915896855</v>
      </c>
      <c r="K24" s="9">
        <v>5.5715480515110709</v>
      </c>
      <c r="L24" s="22">
        <v>207.26782476080365</v>
      </c>
      <c r="M24" s="22">
        <v>218.14419166194946</v>
      </c>
      <c r="N24" s="22">
        <v>996.38873768706333</v>
      </c>
      <c r="O24" s="21"/>
    </row>
    <row r="25" spans="2:29" x14ac:dyDescent="0.25">
      <c r="B25" s="37">
        <v>21</v>
      </c>
      <c r="C25" s="21"/>
      <c r="D25" s="9">
        <v>5.2680841034723862</v>
      </c>
      <c r="E25" s="9">
        <v>5.8164134324302585</v>
      </c>
      <c r="F25" s="9">
        <v>196.44056480128484</v>
      </c>
      <c r="G25" s="9">
        <v>216.88711063501509</v>
      </c>
      <c r="H25" s="9">
        <v>2608.0680942048034</v>
      </c>
      <c r="I25" s="24"/>
      <c r="J25" s="9">
        <v>5.554073242654483</v>
      </c>
      <c r="K25" s="9">
        <v>5.8457518633565249</v>
      </c>
      <c r="L25" s="22">
        <v>207.10475825843446</v>
      </c>
      <c r="M25" s="22">
        <v>217.98110568679121</v>
      </c>
      <c r="N25" s="22">
        <v>1046.2063087156193</v>
      </c>
      <c r="O25" s="21"/>
      <c r="R25" s="52" t="s">
        <v>37</v>
      </c>
      <c r="S25" s="53"/>
      <c r="T25" s="54"/>
      <c r="U25" s="29"/>
    </row>
    <row r="26" spans="2:29" x14ac:dyDescent="0.25">
      <c r="B26" s="37">
        <v>22</v>
      </c>
      <c r="C26" s="21"/>
      <c r="D26" s="9">
        <v>4.7488686132380433</v>
      </c>
      <c r="E26" s="9">
        <v>5.1980053253548988</v>
      </c>
      <c r="F26" s="9">
        <v>219.73973415316675</v>
      </c>
      <c r="G26" s="9">
        <v>240.52219619978266</v>
      </c>
      <c r="H26" s="9">
        <v>2136.2693311231242</v>
      </c>
      <c r="I26" s="24"/>
      <c r="J26" s="9">
        <v>4.8126672594807083</v>
      </c>
      <c r="K26" s="9">
        <v>5.0477584000238993</v>
      </c>
      <c r="L26" s="22">
        <v>222.6918262631938</v>
      </c>
      <c r="M26" s="22">
        <v>233.56996776003797</v>
      </c>
      <c r="N26" s="22">
        <v>843.23519067472523</v>
      </c>
      <c r="O26" s="21"/>
      <c r="Q26" s="39" t="s">
        <v>38</v>
      </c>
      <c r="R26" s="39">
        <f>R6</f>
        <v>1</v>
      </c>
      <c r="S26" s="39">
        <f>S6</f>
        <v>3</v>
      </c>
      <c r="T26" s="39">
        <f>T6</f>
        <v>5</v>
      </c>
      <c r="U26" s="39">
        <f t="shared" ref="U26:AA31" si="0">U6</f>
        <v>8</v>
      </c>
      <c r="V26" s="39">
        <f t="shared" si="0"/>
        <v>10</v>
      </c>
      <c r="W26" s="39">
        <f t="shared" si="0"/>
        <v>13</v>
      </c>
      <c r="X26" s="39">
        <f t="shared" si="0"/>
        <v>16</v>
      </c>
      <c r="Y26" s="39">
        <f t="shared" si="0"/>
        <v>20</v>
      </c>
      <c r="Z26" s="39">
        <f t="shared" si="0"/>
        <v>25</v>
      </c>
      <c r="AA26" s="39">
        <f t="shared" si="0"/>
        <v>30</v>
      </c>
    </row>
    <row r="27" spans="2:29" x14ac:dyDescent="0.25">
      <c r="B27" s="37">
        <v>23</v>
      </c>
      <c r="C27" s="21"/>
      <c r="D27" s="9">
        <v>4.9239971168146193</v>
      </c>
      <c r="E27" s="9">
        <v>5.3935334359043985</v>
      </c>
      <c r="F27" s="9">
        <v>217.93705371605046</v>
      </c>
      <c r="G27" s="9">
        <v>238.71882096072827</v>
      </c>
      <c r="H27" s="9">
        <v>2233.2978161423512</v>
      </c>
      <c r="I27" s="24"/>
      <c r="J27" s="9">
        <v>5.0266226809855503</v>
      </c>
      <c r="K27" s="9">
        <v>5.2723988956816266</v>
      </c>
      <c r="L27" s="22">
        <v>222.47928080529559</v>
      </c>
      <c r="M27" s="22">
        <v>233.35738305304776</v>
      </c>
      <c r="N27" s="22">
        <v>881.5608945437499</v>
      </c>
      <c r="O27" s="21"/>
      <c r="Q27" s="39">
        <v>75</v>
      </c>
      <c r="R27" s="39">
        <f>R7</f>
        <v>0</v>
      </c>
      <c r="S27" s="39">
        <f t="shared" ref="S27:T27" si="1">S7</f>
        <v>0</v>
      </c>
      <c r="T27" s="39">
        <f t="shared" si="1"/>
        <v>4</v>
      </c>
      <c r="U27" s="39">
        <f t="shared" si="0"/>
        <v>4</v>
      </c>
      <c r="V27" s="39">
        <f t="shared" si="0"/>
        <v>4</v>
      </c>
      <c r="W27" s="39">
        <f t="shared" si="0"/>
        <v>4</v>
      </c>
      <c r="X27" s="39">
        <f t="shared" si="0"/>
        <v>4</v>
      </c>
      <c r="Y27" s="39">
        <f t="shared" si="0"/>
        <v>4</v>
      </c>
      <c r="Z27" s="39">
        <f t="shared" si="0"/>
        <v>4</v>
      </c>
      <c r="AA27" s="39">
        <f t="shared" si="0"/>
        <v>4</v>
      </c>
    </row>
    <row r="28" spans="2:29" x14ac:dyDescent="0.25">
      <c r="B28" s="37">
        <v>24</v>
      </c>
      <c r="C28" s="21"/>
      <c r="D28" s="9">
        <v>5.0996799036798874</v>
      </c>
      <c r="E28" s="9">
        <v>5.5897617238522033</v>
      </c>
      <c r="F28" s="9">
        <v>216.30810713783438</v>
      </c>
      <c r="G28" s="9">
        <v>237.09542572770178</v>
      </c>
      <c r="H28" s="9">
        <v>2331.0202304342474</v>
      </c>
      <c r="I28" s="24"/>
      <c r="J28" s="9">
        <v>5.247462793137597</v>
      </c>
      <c r="K28" s="9">
        <v>5.5039269886572706</v>
      </c>
      <c r="L28" s="22">
        <v>222.57646862124631</v>
      </c>
      <c r="M28" s="22">
        <v>233.45465818005715</v>
      </c>
      <c r="N28" s="22">
        <v>919.89698383654911</v>
      </c>
      <c r="O28" s="21"/>
      <c r="Q28" s="39">
        <v>50</v>
      </c>
      <c r="R28" s="39">
        <f t="shared" ref="R28:T31" si="2">R8</f>
        <v>0</v>
      </c>
      <c r="S28" s="39">
        <f t="shared" si="2"/>
        <v>0</v>
      </c>
      <c r="T28" s="39">
        <f t="shared" si="2"/>
        <v>4</v>
      </c>
      <c r="U28" s="39">
        <f t="shared" si="0"/>
        <v>4</v>
      </c>
      <c r="V28" s="39">
        <f t="shared" si="0"/>
        <v>4</v>
      </c>
      <c r="W28" s="39">
        <f t="shared" si="0"/>
        <v>4</v>
      </c>
      <c r="X28" s="39">
        <f t="shared" si="0"/>
        <v>4</v>
      </c>
      <c r="Y28" s="39">
        <f t="shared" si="0"/>
        <v>4</v>
      </c>
      <c r="Z28" s="39">
        <f t="shared" si="0"/>
        <v>4</v>
      </c>
      <c r="AA28" s="39">
        <f t="shared" si="0"/>
        <v>4</v>
      </c>
    </row>
    <row r="29" spans="2:29" x14ac:dyDescent="0.25">
      <c r="B29" s="37">
        <v>25</v>
      </c>
      <c r="C29" s="21"/>
      <c r="D29" s="9">
        <v>5.2746749490868226</v>
      </c>
      <c r="E29" s="9">
        <v>5.7851256016933137</v>
      </c>
      <c r="F29" s="9">
        <v>214.78147188292709</v>
      </c>
      <c r="G29" s="9">
        <v>235.5667038732706</v>
      </c>
      <c r="H29" s="9">
        <v>2427.9023397475203</v>
      </c>
      <c r="I29" s="24"/>
      <c r="J29" s="9">
        <v>5.4693657033742431</v>
      </c>
      <c r="K29" s="9">
        <v>5.7365159583589085</v>
      </c>
      <c r="L29" s="22">
        <v>222.70915788660946</v>
      </c>
      <c r="M29" s="22">
        <v>233.58734953507101</v>
      </c>
      <c r="N29" s="22">
        <v>958.22620818820917</v>
      </c>
      <c r="O29" s="21"/>
      <c r="Q29" s="39">
        <v>35</v>
      </c>
      <c r="R29" s="39">
        <f t="shared" si="2"/>
        <v>0</v>
      </c>
      <c r="S29" s="39">
        <f t="shared" si="2"/>
        <v>0</v>
      </c>
      <c r="T29" s="39">
        <f t="shared" si="2"/>
        <v>4</v>
      </c>
      <c r="U29" s="39">
        <f t="shared" si="0"/>
        <v>4</v>
      </c>
      <c r="V29" s="39">
        <f t="shared" si="0"/>
        <v>4</v>
      </c>
      <c r="W29" s="39">
        <f t="shared" si="0"/>
        <v>4</v>
      </c>
      <c r="X29" s="39">
        <f t="shared" si="0"/>
        <v>4</v>
      </c>
      <c r="Y29" s="39">
        <f t="shared" si="0"/>
        <v>4</v>
      </c>
      <c r="Z29" s="39">
        <f t="shared" si="0"/>
        <v>4</v>
      </c>
      <c r="AA29" s="39">
        <f t="shared" si="0"/>
        <v>4</v>
      </c>
    </row>
    <row r="30" spans="2:29" x14ac:dyDescent="0.25">
      <c r="B30" s="37">
        <v>26</v>
      </c>
      <c r="C30" s="21"/>
      <c r="D30" s="9">
        <v>5.451010890482249</v>
      </c>
      <c r="E30" s="9">
        <v>5.9821802934264516</v>
      </c>
      <c r="F30" s="9">
        <v>213.42477053971265</v>
      </c>
      <c r="G30" s="9">
        <v>234.22177685995749</v>
      </c>
      <c r="H30" s="9">
        <v>2526.4487950507173</v>
      </c>
      <c r="I30" s="24"/>
      <c r="J30" s="9">
        <v>5.6800054087359175</v>
      </c>
      <c r="K30" s="9">
        <v>5.9578417231855756</v>
      </c>
      <c r="L30" s="22">
        <v>222.39064925378318</v>
      </c>
      <c r="M30" s="22">
        <v>233.26884283115314</v>
      </c>
      <c r="N30" s="22">
        <v>996.55543253986923</v>
      </c>
      <c r="O30" s="21"/>
      <c r="Q30" s="39">
        <v>25</v>
      </c>
      <c r="R30" s="39">
        <f t="shared" si="2"/>
        <v>0</v>
      </c>
      <c r="S30" s="39">
        <f t="shared" si="2"/>
        <v>0</v>
      </c>
      <c r="T30" s="39">
        <f t="shared" si="2"/>
        <v>4</v>
      </c>
      <c r="U30" s="39">
        <f t="shared" si="0"/>
        <v>4</v>
      </c>
      <c r="V30" s="39">
        <f t="shared" si="0"/>
        <v>4</v>
      </c>
      <c r="W30" s="39">
        <f t="shared" si="0"/>
        <v>4</v>
      </c>
      <c r="X30" s="39">
        <f t="shared" si="0"/>
        <v>4</v>
      </c>
      <c r="Y30" s="39">
        <f t="shared" si="0"/>
        <v>4</v>
      </c>
      <c r="Z30" s="39">
        <f t="shared" si="0"/>
        <v>4</v>
      </c>
      <c r="AA30" s="39">
        <f t="shared" si="0"/>
        <v>4</v>
      </c>
    </row>
    <row r="31" spans="2:29" x14ac:dyDescent="0.25">
      <c r="B31" s="37">
        <v>27</v>
      </c>
      <c r="C31" s="21"/>
      <c r="D31" s="9">
        <v>5.6255535073786831</v>
      </c>
      <c r="E31" s="9">
        <v>6.1769777629839178</v>
      </c>
      <c r="F31" s="9">
        <v>212.10095165308391</v>
      </c>
      <c r="G31" s="9">
        <v>232.89136973817682</v>
      </c>
      <c r="H31" s="9">
        <v>2622.7887721197148</v>
      </c>
      <c r="I31" s="24"/>
      <c r="J31" s="9">
        <v>5.9069798708815462</v>
      </c>
      <c r="K31" s="9">
        <v>6.1955044617484401</v>
      </c>
      <c r="L31" s="22">
        <v>222.71160524315843</v>
      </c>
      <c r="M31" s="22">
        <v>233.58988419258401</v>
      </c>
      <c r="N31" s="22">
        <v>1034.8925779774604</v>
      </c>
      <c r="O31" s="21"/>
      <c r="Q31" s="39">
        <v>10</v>
      </c>
      <c r="R31" s="39">
        <f t="shared" si="2"/>
        <v>0</v>
      </c>
      <c r="S31" s="39">
        <f t="shared" si="2"/>
        <v>0</v>
      </c>
      <c r="T31" s="39">
        <f t="shared" si="2"/>
        <v>0</v>
      </c>
      <c r="U31" s="39">
        <f t="shared" si="0"/>
        <v>4</v>
      </c>
      <c r="V31" s="39">
        <f t="shared" si="0"/>
        <v>4</v>
      </c>
      <c r="W31" s="39">
        <f t="shared" si="0"/>
        <v>4</v>
      </c>
      <c r="X31" s="39">
        <f t="shared" si="0"/>
        <v>4</v>
      </c>
      <c r="Y31" s="39">
        <f t="shared" si="0"/>
        <v>4</v>
      </c>
      <c r="Z31" s="39">
        <f t="shared" si="0"/>
        <v>4</v>
      </c>
      <c r="AA31" s="39">
        <f t="shared" si="0"/>
        <v>4</v>
      </c>
    </row>
    <row r="32" spans="2:29" x14ac:dyDescent="0.25">
      <c r="B32" s="37">
        <v>28</v>
      </c>
      <c r="C32" s="21"/>
      <c r="D32" s="9">
        <v>5.1836109381129267</v>
      </c>
      <c r="E32" s="9">
        <v>5.6491621361492612</v>
      </c>
      <c r="F32" s="9">
        <v>235.57299351693999</v>
      </c>
      <c r="G32" s="9">
        <v>256.73030849797954</v>
      </c>
      <c r="H32" s="9">
        <v>2214.3430265257171</v>
      </c>
      <c r="I32" s="24"/>
      <c r="J32" s="9">
        <v>5.2819988622836123</v>
      </c>
      <c r="K32" s="9">
        <v>5.5214068640052512</v>
      </c>
      <c r="L32" s="22">
        <v>240.04430475142934</v>
      </c>
      <c r="M32" s="22">
        <v>250.92437663776704</v>
      </c>
      <c r="N32" s="22">
        <v>858.71850760251505</v>
      </c>
      <c r="O32" s="21"/>
      <c r="U32" s="29"/>
    </row>
    <row r="33" spans="2:21" x14ac:dyDescent="0.25">
      <c r="B33" s="37">
        <v>29</v>
      </c>
      <c r="C33" s="21"/>
      <c r="D33" s="9">
        <v>5.3370336135012142</v>
      </c>
      <c r="E33" s="9">
        <v>5.8192765270954157</v>
      </c>
      <c r="F33" s="9">
        <v>234.18176484744478</v>
      </c>
      <c r="G33" s="9">
        <v>255.34192698413733</v>
      </c>
      <c r="H33" s="9">
        <v>2293.7353341864118</v>
      </c>
      <c r="I33" s="24"/>
      <c r="J33" s="9">
        <v>5.4737633292017476</v>
      </c>
      <c r="K33" s="9">
        <v>5.7217242084218976</v>
      </c>
      <c r="L33" s="22">
        <v>240.18127851901684</v>
      </c>
      <c r="M33" s="22">
        <v>251.06146412661786</v>
      </c>
      <c r="N33" s="22">
        <v>889.39628585782248</v>
      </c>
      <c r="O33" s="21"/>
      <c r="Q33" s="29"/>
      <c r="R33" s="29"/>
      <c r="S33" s="29"/>
      <c r="T33" s="29"/>
      <c r="U33" s="29"/>
    </row>
    <row r="34" spans="2:21" x14ac:dyDescent="0.25">
      <c r="B34" s="37">
        <v>30</v>
      </c>
      <c r="C34" s="21"/>
      <c r="D34" s="9">
        <v>5.4910967710374328</v>
      </c>
      <c r="E34" s="9">
        <v>5.9901989504560103</v>
      </c>
      <c r="F34" s="9">
        <v>232.91045145729578</v>
      </c>
      <c r="G34" s="9">
        <v>254.0803777541399</v>
      </c>
      <c r="H34" s="9">
        <v>2373.9245762461919</v>
      </c>
      <c r="I34" s="24"/>
      <c r="J34" s="9">
        <v>5.655972052039985</v>
      </c>
      <c r="K34" s="9">
        <v>5.9124829020879321</v>
      </c>
      <c r="L34" s="22">
        <v>239.90380410316396</v>
      </c>
      <c r="M34" s="22">
        <v>250.78397256121772</v>
      </c>
      <c r="N34" s="22">
        <v>920.06367868935627</v>
      </c>
      <c r="O34" s="21"/>
      <c r="R34" s="52" t="s">
        <v>39</v>
      </c>
      <c r="S34" s="53"/>
      <c r="T34" s="54"/>
      <c r="U34" s="29"/>
    </row>
    <row r="35" spans="2:21" x14ac:dyDescent="0.25">
      <c r="B35" s="37">
        <v>31</v>
      </c>
      <c r="C35" s="21"/>
      <c r="D35" s="9">
        <v>5.64409282812729</v>
      </c>
      <c r="E35" s="9">
        <v>6.1597784423192534</v>
      </c>
      <c r="F35" s="9">
        <v>231.67735620504502</v>
      </c>
      <c r="G35" s="9">
        <v>252.84509447001079</v>
      </c>
      <c r="H35" s="9">
        <v>2452.8018582748268</v>
      </c>
      <c r="I35" s="24"/>
      <c r="J35" s="9">
        <v>5.8518406956548841</v>
      </c>
      <c r="K35" s="9">
        <v>6.1169032408268134</v>
      </c>
      <c r="L35" s="22">
        <v>240.20494038405977</v>
      </c>
      <c r="M35" s="22">
        <v>251.08516357748098</v>
      </c>
      <c r="N35" s="22">
        <v>950.73723236550143</v>
      </c>
      <c r="O35" s="21"/>
      <c r="Q35" s="39" t="s">
        <v>38</v>
      </c>
      <c r="R35" s="42">
        <v>1</v>
      </c>
      <c r="S35" s="42">
        <v>2</v>
      </c>
      <c r="T35" s="42">
        <v>3</v>
      </c>
    </row>
    <row r="36" spans="2:21" x14ac:dyDescent="0.25">
      <c r="B36" s="37">
        <v>32</v>
      </c>
      <c r="C36" s="21"/>
      <c r="D36" s="9">
        <v>5.7978614710423804</v>
      </c>
      <c r="E36" s="9">
        <v>6.3303322642061772</v>
      </c>
      <c r="F36" s="9">
        <v>230.55205129337955</v>
      </c>
      <c r="G36" s="9">
        <v>251.72576063963874</v>
      </c>
      <c r="H36" s="9">
        <v>2532.6387143758261</v>
      </c>
      <c r="I36" s="24"/>
      <c r="J36" s="9">
        <v>6.0381727765058359</v>
      </c>
      <c r="K36" s="9">
        <v>6.3117872631297729</v>
      </c>
      <c r="L36" s="22">
        <v>240.10803408122436</v>
      </c>
      <c r="M36" s="22">
        <v>250.98831838429035</v>
      </c>
      <c r="N36" s="22">
        <v>981.41166616230635</v>
      </c>
      <c r="O36" s="21"/>
      <c r="Q36" s="39">
        <v>75</v>
      </c>
      <c r="R36" s="39">
        <f>R7</f>
        <v>0</v>
      </c>
      <c r="S36" s="39">
        <f>R13</f>
        <v>0</v>
      </c>
      <c r="T36" s="39">
        <f>R19</f>
        <v>0</v>
      </c>
    </row>
    <row r="37" spans="2:21" x14ac:dyDescent="0.25">
      <c r="B37" s="37">
        <v>33</v>
      </c>
      <c r="C37" s="21"/>
      <c r="D37" s="9">
        <v>5.9515292299738451</v>
      </c>
      <c r="E37" s="9">
        <v>6.5007601265593902</v>
      </c>
      <c r="F37" s="9">
        <v>229.4910565914652</v>
      </c>
      <c r="G37" s="9">
        <v>250.66940822171475</v>
      </c>
      <c r="H37" s="9">
        <v>2612.3563013830881</v>
      </c>
      <c r="I37" s="24"/>
      <c r="J37" s="9">
        <v>6.2253409066151768</v>
      </c>
      <c r="K37" s="9">
        <v>6.5075063001134135</v>
      </c>
      <c r="L37" s="22">
        <v>240.0492389596254</v>
      </c>
      <c r="M37" s="22">
        <v>250.92954077538937</v>
      </c>
      <c r="N37" s="22">
        <v>1012.0824034523447</v>
      </c>
      <c r="O37" s="21"/>
      <c r="Q37" s="39">
        <v>50</v>
      </c>
      <c r="R37" s="39">
        <f t="shared" ref="R37:R40" si="3">R8</f>
        <v>0</v>
      </c>
      <c r="S37" s="39">
        <f t="shared" ref="S37:S40" si="4">R14</f>
        <v>0</v>
      </c>
      <c r="T37" s="39">
        <f t="shared" ref="T37:T40" si="5">R20</f>
        <v>0</v>
      </c>
    </row>
    <row r="38" spans="2:21" x14ac:dyDescent="0.25">
      <c r="B38" s="37">
        <v>34</v>
      </c>
      <c r="D38" s="9">
        <v>4.9773249975471447</v>
      </c>
      <c r="E38" s="9">
        <v>5.348777840005523</v>
      </c>
      <c r="F38" s="9">
        <v>298.04936388096894</v>
      </c>
      <c r="G38" s="9">
        <v>320.29249316448096</v>
      </c>
      <c r="H38" s="9">
        <v>1766.7745563757928</v>
      </c>
      <c r="I38" s="24"/>
      <c r="J38" s="9">
        <v>4.8888790705727674</v>
      </c>
      <c r="K38" s="9">
        <v>5.0706668712559964</v>
      </c>
      <c r="L38" s="22">
        <v>292.75309484377192</v>
      </c>
      <c r="M38" s="22">
        <v>303.6388092348671</v>
      </c>
      <c r="N38" s="22">
        <v>652.04268310405246</v>
      </c>
      <c r="Q38" s="39">
        <v>35</v>
      </c>
      <c r="R38" s="39">
        <f t="shared" si="3"/>
        <v>0</v>
      </c>
      <c r="S38" s="39">
        <f t="shared" si="4"/>
        <v>0</v>
      </c>
      <c r="T38" s="39">
        <f t="shared" si="5"/>
        <v>0</v>
      </c>
    </row>
    <row r="39" spans="2:21" x14ac:dyDescent="0.25">
      <c r="B39" s="37">
        <v>35</v>
      </c>
      <c r="D39" s="9">
        <v>5.0984163130538125</v>
      </c>
      <c r="E39" s="9">
        <v>5.4810503248453815</v>
      </c>
      <c r="F39" s="9">
        <v>296.57761461523245</v>
      </c>
      <c r="G39" s="9">
        <v>318.83564054325404</v>
      </c>
      <c r="H39" s="9">
        <v>1819.9565575086133</v>
      </c>
      <c r="I39" s="24"/>
      <c r="J39" s="9">
        <v>5.0332569489958097</v>
      </c>
      <c r="K39" s="9">
        <v>5.2203932971593368</v>
      </c>
      <c r="L39" s="22">
        <v>292.78725941950444</v>
      </c>
      <c r="M39" s="22">
        <v>303.67308127835167</v>
      </c>
      <c r="N39" s="22">
        <v>671.22700998264224</v>
      </c>
      <c r="Q39" s="39">
        <v>25</v>
      </c>
      <c r="R39" s="39">
        <f t="shared" si="3"/>
        <v>0</v>
      </c>
      <c r="S39" s="39">
        <f t="shared" si="4"/>
        <v>0</v>
      </c>
      <c r="T39" s="39">
        <f t="shared" si="5"/>
        <v>0</v>
      </c>
    </row>
    <row r="40" spans="2:21" x14ac:dyDescent="0.25">
      <c r="B40" s="37">
        <v>36</v>
      </c>
      <c r="D40" s="9">
        <v>5.2178935012018757</v>
      </c>
      <c r="E40" s="9">
        <v>5.6112903765592153</v>
      </c>
      <c r="F40" s="9">
        <v>295.09634272727425</v>
      </c>
      <c r="G40" s="9">
        <v>317.34478055597822</v>
      </c>
      <c r="H40" s="9">
        <v>1871.1489333049467</v>
      </c>
      <c r="I40" s="24"/>
      <c r="J40" s="9">
        <v>5.1871093950546134</v>
      </c>
      <c r="K40" s="9">
        <v>5.3795940443704069</v>
      </c>
      <c r="L40" s="22">
        <v>293.3553571866355</v>
      </c>
      <c r="M40" s="22">
        <v>304.24126661179895</v>
      </c>
      <c r="N40" s="22">
        <v>690.41045674057466</v>
      </c>
      <c r="Q40" s="39">
        <v>10</v>
      </c>
      <c r="R40" s="39">
        <f t="shared" si="3"/>
        <v>0</v>
      </c>
      <c r="S40" s="39">
        <f t="shared" si="4"/>
        <v>0</v>
      </c>
      <c r="T40" s="39">
        <f t="shared" si="5"/>
        <v>0</v>
      </c>
    </row>
    <row r="41" spans="2:21" x14ac:dyDescent="0.25">
      <c r="B41" s="37">
        <v>37</v>
      </c>
      <c r="D41" s="9">
        <v>5.3392646754816777</v>
      </c>
      <c r="E41" s="9">
        <v>5.7439168070247444</v>
      </c>
      <c r="F41" s="9">
        <v>293.79935841867194</v>
      </c>
      <c r="G41" s="9">
        <v>316.06582091041491</v>
      </c>
      <c r="H41" s="9">
        <v>1924.6833203965491</v>
      </c>
      <c r="I41" s="24"/>
      <c r="J41" s="9">
        <v>5.3147126501178565</v>
      </c>
      <c r="K41" s="9">
        <v>5.5125425953839926</v>
      </c>
      <c r="L41" s="22">
        <v>292.44835416280614</v>
      </c>
      <c r="M41" s="22">
        <v>303.33418105617852</v>
      </c>
      <c r="N41" s="22">
        <v>709.58316602646744</v>
      </c>
    </row>
    <row r="42" spans="2:21" x14ac:dyDescent="0.25">
      <c r="B42" s="37">
        <v>38</v>
      </c>
      <c r="D42" s="9">
        <v>5.4592853691085557</v>
      </c>
      <c r="E42" s="9">
        <v>5.874842838933823</v>
      </c>
      <c r="F42" s="9">
        <v>292.49828021930955</v>
      </c>
      <c r="G42" s="9">
        <v>314.76307076203693</v>
      </c>
      <c r="H42" s="9">
        <v>1976.5533614982251</v>
      </c>
      <c r="I42" s="24"/>
      <c r="J42" s="9">
        <v>5.4662454533248024</v>
      </c>
      <c r="K42" s="9">
        <v>5.6694239460712321</v>
      </c>
      <c r="L42" s="22">
        <v>292.87118848949325</v>
      </c>
      <c r="M42" s="22">
        <v>303.75711140573503</v>
      </c>
      <c r="N42" s="22">
        <v>728.76749290505757</v>
      </c>
    </row>
    <row r="43" spans="2:21" x14ac:dyDescent="0.25">
      <c r="B43" s="37">
        <v>39</v>
      </c>
      <c r="D43" s="9">
        <v>5.5803660301704907</v>
      </c>
      <c r="E43" s="9">
        <v>6.0071046693289478</v>
      </c>
      <c r="F43" s="9">
        <v>291.31925886658883</v>
      </c>
      <c r="G43" s="9">
        <v>313.59686277594744</v>
      </c>
      <c r="H43" s="9">
        <v>2029.7353626310492</v>
      </c>
      <c r="I43" s="24"/>
      <c r="J43" s="9">
        <v>5.6074088273362772</v>
      </c>
      <c r="K43" s="9">
        <v>5.8159351285789205</v>
      </c>
      <c r="L43" s="22">
        <v>292.73100992116537</v>
      </c>
      <c r="M43" s="22">
        <v>303.61698535785945</v>
      </c>
      <c r="N43" s="22">
        <v>747.94917942167194</v>
      </c>
    </row>
    <row r="44" spans="2:21" x14ac:dyDescent="0.25">
      <c r="B44" s="37">
        <v>40</v>
      </c>
      <c r="D44" s="9">
        <v>5.7002281209253667</v>
      </c>
      <c r="E44" s="9">
        <v>6.137832205445414</v>
      </c>
      <c r="F44" s="9">
        <v>290.13716430354623</v>
      </c>
      <c r="G44" s="9">
        <v>312.41087080736327</v>
      </c>
      <c r="H44" s="9">
        <v>2081.4156574472299</v>
      </c>
      <c r="I44" s="24"/>
      <c r="J44" s="9">
        <v>5.7484888880709821</v>
      </c>
      <c r="K44" s="9">
        <v>5.9623619632321292</v>
      </c>
      <c r="L44" s="22">
        <v>292.59359970046319</v>
      </c>
      <c r="M44" s="22">
        <v>303.47957237238859</v>
      </c>
      <c r="N44" s="22">
        <v>767.12716943151815</v>
      </c>
    </row>
    <row r="45" spans="2:21" x14ac:dyDescent="0.25">
      <c r="B45" s="37">
        <v>41</v>
      </c>
      <c r="D45" s="9">
        <v>5.8206234923186724</v>
      </c>
      <c r="E45" s="9">
        <v>6.2692320775235517</v>
      </c>
      <c r="F45" s="9">
        <v>289.03921442012091</v>
      </c>
      <c r="G45" s="9">
        <v>311.3161188137579</v>
      </c>
      <c r="H45" s="9">
        <v>2133.7573536014252</v>
      </c>
      <c r="I45" s="24"/>
      <c r="J45" s="9">
        <v>5.8963389981490968</v>
      </c>
      <c r="K45" s="9">
        <v>6.1155603744625173</v>
      </c>
      <c r="L45" s="22">
        <v>292.79907800750613</v>
      </c>
      <c r="M45" s="22">
        <v>303.68512388856129</v>
      </c>
      <c r="N45" s="22">
        <v>786.31061618945034</v>
      </c>
    </row>
    <row r="46" spans="2:21" x14ac:dyDescent="0.25">
      <c r="B46" s="37">
        <v>42</v>
      </c>
      <c r="D46" s="9">
        <v>5.9413151323826767</v>
      </c>
      <c r="E46" s="9">
        <v>6.4010057245181118</v>
      </c>
      <c r="F46" s="9">
        <v>288.00790962086205</v>
      </c>
      <c r="G46" s="9">
        <v>310.29161677379471</v>
      </c>
      <c r="H46" s="9">
        <v>2186.4676996817298</v>
      </c>
      <c r="I46" s="24"/>
      <c r="J46" s="9">
        <v>6.0410219347455074</v>
      </c>
      <c r="K46" s="9">
        <v>6.2655913658831661</v>
      </c>
      <c r="L46" s="22">
        <v>292.84124148151074</v>
      </c>
      <c r="M46" s="22">
        <v>303.72734514468493</v>
      </c>
      <c r="N46" s="22">
        <v>805.49318282672243</v>
      </c>
    </row>
    <row r="47" spans="2:21" x14ac:dyDescent="0.25">
      <c r="B47" s="37">
        <v>43</v>
      </c>
      <c r="D47" s="9">
        <v>6.0616094414483905</v>
      </c>
      <c r="E47" s="9">
        <v>6.5322794587185635</v>
      </c>
      <c r="F47" s="9">
        <v>287.00575961428149</v>
      </c>
      <c r="G47" s="9">
        <v>309.29109606479608</v>
      </c>
      <c r="H47" s="9">
        <v>2238.690126742184</v>
      </c>
      <c r="I47" s="24"/>
      <c r="J47" s="9">
        <v>6.1875973728779101</v>
      </c>
      <c r="K47" s="9">
        <v>6.4175151051678387</v>
      </c>
      <c r="L47" s="22">
        <v>292.97105023741364</v>
      </c>
      <c r="M47" s="22">
        <v>303.85722065833352</v>
      </c>
      <c r="N47" s="22">
        <v>824.67662958465473</v>
      </c>
    </row>
    <row r="48" spans="2:21" x14ac:dyDescent="0.25">
      <c r="B48" s="37">
        <v>44</v>
      </c>
      <c r="D48" s="9">
        <v>6.1821299104242557</v>
      </c>
      <c r="E48" s="9">
        <v>6.6638386223112001</v>
      </c>
      <c r="F48" s="9">
        <v>286.05962675617025</v>
      </c>
      <c r="G48" s="9">
        <v>308.3492609638277</v>
      </c>
      <c r="H48" s="9">
        <v>2291.1944625696633</v>
      </c>
      <c r="I48" s="24"/>
      <c r="J48" s="9">
        <v>6.3226222702122818</v>
      </c>
      <c r="K48" s="9">
        <v>6.5578852984525566</v>
      </c>
      <c r="L48" s="22">
        <v>292.56049176311382</v>
      </c>
      <c r="M48" s="22">
        <v>303.4465868505788</v>
      </c>
      <c r="N48" s="22">
        <v>843.8493388705474</v>
      </c>
    </row>
    <row r="49" spans="2:32" x14ac:dyDescent="0.25">
      <c r="B49" s="37">
        <v>45</v>
      </c>
      <c r="D49" s="9">
        <v>6.3031004993573445</v>
      </c>
      <c r="E49" s="9">
        <v>6.7959653050273845</v>
      </c>
      <c r="F49" s="9">
        <v>285.17590936256192</v>
      </c>
      <c r="G49" s="9">
        <v>307.47496189457951</v>
      </c>
      <c r="H49" s="9">
        <v>2344.2571946087455</v>
      </c>
      <c r="I49" s="24"/>
      <c r="J49" s="9">
        <v>6.4696405825344048</v>
      </c>
      <c r="K49" s="9">
        <v>6.7102533898951027</v>
      </c>
      <c r="L49" s="22">
        <v>292.71080741316052</v>
      </c>
      <c r="M49" s="22">
        <v>303.5970333507546</v>
      </c>
      <c r="N49" s="22">
        <v>863.03806635243302</v>
      </c>
    </row>
    <row r="50" spans="2:32" x14ac:dyDescent="0.25">
      <c r="B50" s="37">
        <v>46</v>
      </c>
      <c r="D50" s="9">
        <v>6.4234851726619331</v>
      </c>
      <c r="E50" s="9">
        <v>6.9273544790167998</v>
      </c>
      <c r="F50" s="9">
        <v>284.30468172660022</v>
      </c>
      <c r="G50" s="9">
        <v>306.60603355110493</v>
      </c>
      <c r="H50" s="9">
        <v>2396.598890762943</v>
      </c>
      <c r="I50" s="24"/>
      <c r="J50" s="9">
        <v>6.6135307608464418</v>
      </c>
      <c r="K50" s="9">
        <v>6.8594906377192766</v>
      </c>
      <c r="L50" s="22">
        <v>292.71613579086647</v>
      </c>
      <c r="M50" s="22">
        <v>303.60236696167289</v>
      </c>
      <c r="N50" s="22">
        <v>882.2171125070696</v>
      </c>
    </row>
    <row r="51" spans="2:32" x14ac:dyDescent="0.25">
      <c r="B51" s="37">
        <v>47</v>
      </c>
      <c r="D51" s="9">
        <v>6.543595700186609</v>
      </c>
      <c r="E51" s="9">
        <v>7.0583988397669533</v>
      </c>
      <c r="F51" s="9">
        <v>283.45865202721421</v>
      </c>
      <c r="G51" s="9">
        <v>305.75914409469641</v>
      </c>
      <c r="H51" s="9">
        <v>2448.604464925686</v>
      </c>
      <c r="I51" s="24"/>
      <c r="J51" s="9">
        <v>6.7538953338768462</v>
      </c>
      <c r="K51" s="9">
        <v>7.0052014920121337</v>
      </c>
      <c r="L51" s="22">
        <v>292.56851354967216</v>
      </c>
      <c r="M51" s="22">
        <v>303.45471558521893</v>
      </c>
      <c r="N51" s="22">
        <v>901.393342275598</v>
      </c>
    </row>
    <row r="52" spans="2:32" x14ac:dyDescent="0.25">
      <c r="B52" s="37">
        <v>48</v>
      </c>
      <c r="D52" s="9">
        <v>6.6649423480154981</v>
      </c>
      <c r="E52" s="9">
        <v>7.1910007437815704</v>
      </c>
      <c r="F52" s="9">
        <v>282.70030486457011</v>
      </c>
      <c r="G52" s="9">
        <v>305.01360647983705</v>
      </c>
      <c r="H52" s="9">
        <v>2502.1388520172909</v>
      </c>
      <c r="I52" s="24"/>
      <c r="J52" s="9">
        <v>6.8974586262769417</v>
      </c>
      <c r="K52" s="9">
        <v>7.1541145635326586</v>
      </c>
      <c r="L52" s="22">
        <v>292.5627191688825</v>
      </c>
      <c r="M52" s="22">
        <v>303.44904164834054</v>
      </c>
      <c r="N52" s="22">
        <v>920.58206975748362</v>
      </c>
    </row>
    <row r="53" spans="2:32" x14ac:dyDescent="0.25">
      <c r="B53" s="37">
        <v>49</v>
      </c>
      <c r="D53" s="9">
        <v>6.7843906048402047</v>
      </c>
      <c r="E53" s="9">
        <v>7.3212118641720467</v>
      </c>
      <c r="F53" s="9">
        <v>281.89403177299153</v>
      </c>
      <c r="G53" s="9">
        <v>304.19916099514251</v>
      </c>
      <c r="H53" s="9">
        <v>2553.3312278136214</v>
      </c>
      <c r="I53" s="24"/>
      <c r="J53" s="9">
        <v>7.0469925140038274</v>
      </c>
      <c r="K53" s="9">
        <v>7.3089955207716768</v>
      </c>
      <c r="L53" s="22">
        <v>292.80524181927126</v>
      </c>
      <c r="M53" s="22">
        <v>303.69156724129863</v>
      </c>
      <c r="N53" s="22">
        <v>939.76111591212009</v>
      </c>
    </row>
    <row r="54" spans="2:32" x14ac:dyDescent="0.25">
      <c r="B54" s="37">
        <v>50</v>
      </c>
      <c r="D54" s="9">
        <v>6.9054482296595641</v>
      </c>
      <c r="E54" s="9">
        <v>7.4534506583245985</v>
      </c>
      <c r="F54" s="9">
        <v>281.18554206537539</v>
      </c>
      <c r="G54" s="9">
        <v>303.49985893991033</v>
      </c>
      <c r="H54" s="9">
        <v>2606.5132289464445</v>
      </c>
      <c r="I54" s="24"/>
      <c r="J54" s="9">
        <v>7.1859782609552028</v>
      </c>
      <c r="K54" s="9">
        <v>7.4533287806256379</v>
      </c>
      <c r="L54" s="22">
        <v>292.60854985459883</v>
      </c>
      <c r="M54" s="22">
        <v>303.49489615607524</v>
      </c>
      <c r="N54" s="22">
        <v>958.94174628394455</v>
      </c>
      <c r="AD54" s="26"/>
    </row>
    <row r="55" spans="2:32" x14ac:dyDescent="0.25">
      <c r="B55" s="37">
        <v>51</v>
      </c>
      <c r="D55" s="9">
        <v>7.0257270488207517</v>
      </c>
      <c r="E55" s="9">
        <v>7.5847089026205214</v>
      </c>
      <c r="F55" s="9">
        <v>280.4737456008711</v>
      </c>
      <c r="G55" s="9">
        <v>302.78883600627694</v>
      </c>
      <c r="H55" s="9">
        <v>2658.7356560068997</v>
      </c>
      <c r="I55" s="24"/>
      <c r="J55" s="9">
        <v>7.3324872521163051</v>
      </c>
      <c r="K55" s="9">
        <v>7.6051863192670357</v>
      </c>
      <c r="L55" s="22">
        <v>292.71990640696589</v>
      </c>
      <c r="M55" s="22">
        <v>303.60631407042138</v>
      </c>
      <c r="N55" s="22">
        <v>978.12607316253434</v>
      </c>
    </row>
    <row r="56" spans="2:32" x14ac:dyDescent="0.25">
      <c r="B56" s="37">
        <v>52</v>
      </c>
      <c r="D56" s="9">
        <v>5.9930036348499236</v>
      </c>
      <c r="E56" s="9">
        <v>6.3638560379377891</v>
      </c>
      <c r="F56" s="9">
        <v>391.07590968273627</v>
      </c>
      <c r="G56" s="9">
        <v>415.2760353179425</v>
      </c>
      <c r="H56" s="9">
        <v>1763.918632605104</v>
      </c>
      <c r="I56" s="24"/>
      <c r="J56" s="9">
        <v>5.9237925840433556</v>
      </c>
      <c r="K56" s="9">
        <v>6.0907673829917854</v>
      </c>
      <c r="L56" s="22">
        <v>386.55951418167552</v>
      </c>
      <c r="M56" s="22">
        <v>397.45552315672836</v>
      </c>
      <c r="N56" s="22">
        <v>598.90871485266075</v>
      </c>
    </row>
    <row r="57" spans="2:32" x14ac:dyDescent="0.25">
      <c r="B57" s="37">
        <v>53</v>
      </c>
      <c r="D57" s="9">
        <v>6.0920882342708529</v>
      </c>
      <c r="E57" s="9">
        <v>6.470336409031118</v>
      </c>
      <c r="F57" s="9">
        <v>390.04092875708983</v>
      </c>
      <c r="G57" s="9">
        <v>414.25795643476357</v>
      </c>
      <c r="H57" s="9">
        <v>1799.0958064532888</v>
      </c>
      <c r="I57" s="24"/>
      <c r="J57" s="9">
        <v>6.0341709890702786</v>
      </c>
      <c r="K57" s="9">
        <v>6.2043572615497</v>
      </c>
      <c r="L57" s="22">
        <v>386.33282486227029</v>
      </c>
      <c r="M57" s="22">
        <v>397.22886070859374</v>
      </c>
      <c r="N57" s="22">
        <v>610.42768972848762</v>
      </c>
      <c r="P57" s="28"/>
    </row>
    <row r="58" spans="2:32" x14ac:dyDescent="0.25">
      <c r="B58" s="37">
        <v>54</v>
      </c>
      <c r="D58" s="9">
        <v>6.1901091518831208</v>
      </c>
      <c r="E58" s="9">
        <v>6.575477267264783</v>
      </c>
      <c r="F58" s="9">
        <v>388.97744024322503</v>
      </c>
      <c r="G58" s="9">
        <v>413.19341114042857</v>
      </c>
      <c r="H58" s="9">
        <v>1832.9610202703291</v>
      </c>
      <c r="I58" s="24"/>
      <c r="J58" s="9">
        <v>6.1503041459557366</v>
      </c>
      <c r="K58" s="9">
        <v>6.3237023353565984</v>
      </c>
      <c r="L58" s="22">
        <v>386.47615166581926</v>
      </c>
      <c r="M58" s="22">
        <v>397.37224125019088</v>
      </c>
      <c r="N58" s="22">
        <v>621.94824882150215</v>
      </c>
    </row>
    <row r="59" spans="2:32" x14ac:dyDescent="0.25">
      <c r="B59" s="37">
        <v>55</v>
      </c>
      <c r="D59" s="9">
        <v>6.2885460258873858</v>
      </c>
      <c r="E59" s="9">
        <v>6.6811423626749384</v>
      </c>
      <c r="F59" s="9">
        <v>387.97828689452274</v>
      </c>
      <c r="G59" s="9">
        <v>412.1999199335217</v>
      </c>
      <c r="H59" s="9">
        <v>1867.3412597194288</v>
      </c>
      <c r="I59" s="24"/>
      <c r="J59" s="9">
        <v>6.2619260663416405</v>
      </c>
      <c r="K59" s="9">
        <v>6.4385357292734984</v>
      </c>
      <c r="L59" s="22">
        <v>386.33594123000125</v>
      </c>
      <c r="M59" s="22">
        <v>397.23205524288267</v>
      </c>
      <c r="N59" s="22">
        <v>633.46722369732868</v>
      </c>
    </row>
    <row r="60" spans="2:32" x14ac:dyDescent="0.25">
      <c r="B60" s="37">
        <v>56</v>
      </c>
      <c r="D60" s="9">
        <v>6.3870564220618968</v>
      </c>
      <c r="E60" s="9">
        <v>6.7869003568167665</v>
      </c>
      <c r="F60" s="9">
        <v>387.01927261911538</v>
      </c>
      <c r="G60" s="9">
        <v>411.24753968991712</v>
      </c>
      <c r="H60" s="9">
        <v>1901.8136616500565</v>
      </c>
      <c r="I60" s="24"/>
      <c r="J60" s="9">
        <v>6.375923277101923</v>
      </c>
      <c r="K60" s="9">
        <v>6.5557446598927998</v>
      </c>
      <c r="L60" s="22">
        <v>386.34466738946855</v>
      </c>
      <c r="M60" s="22">
        <v>397.24081988448938</v>
      </c>
      <c r="N60" s="22">
        <v>644.98707869381599</v>
      </c>
      <c r="AE60" s="26"/>
      <c r="AF60" s="26"/>
    </row>
    <row r="61" spans="2:32" x14ac:dyDescent="0.25">
      <c r="B61" s="37">
        <v>57</v>
      </c>
      <c r="D61" s="9">
        <v>6.4850739978421217</v>
      </c>
      <c r="E61" s="9">
        <v>6.8920378732183973</v>
      </c>
      <c r="F61" s="9">
        <v>386.06456975267736</v>
      </c>
      <c r="G61" s="9">
        <v>410.29163848069851</v>
      </c>
      <c r="H61" s="9">
        <v>1935.6788754670963</v>
      </c>
      <c r="I61" s="24"/>
      <c r="J61" s="9">
        <v>6.4879541661988016</v>
      </c>
      <c r="K61" s="9">
        <v>6.6709862342709823</v>
      </c>
      <c r="L61" s="22">
        <v>386.23602977885542</v>
      </c>
      <c r="M61" s="22">
        <v>397.1321578160593</v>
      </c>
      <c r="N61" s="22">
        <v>656.50323718353457</v>
      </c>
    </row>
    <row r="62" spans="2:32" x14ac:dyDescent="0.25">
      <c r="B62" s="37">
        <v>58</v>
      </c>
      <c r="D62" s="9">
        <v>6.5844383764056937</v>
      </c>
      <c r="E62" s="9">
        <v>6.9988721103069054</v>
      </c>
      <c r="F62" s="9">
        <v>385.22158217009309</v>
      </c>
      <c r="G62" s="9">
        <v>409.46796577209642</v>
      </c>
      <c r="H62" s="9">
        <v>1971.2084352740599</v>
      </c>
      <c r="I62" s="24"/>
      <c r="J62" s="9">
        <v>6.5976024384110952</v>
      </c>
      <c r="K62" s="9">
        <v>6.7838474579824295</v>
      </c>
      <c r="L62" s="22">
        <v>385.99174364835636</v>
      </c>
      <c r="M62" s="22">
        <v>396.88798065585246</v>
      </c>
      <c r="N62" s="22">
        <v>668.02749278331601</v>
      </c>
    </row>
    <row r="63" spans="2:32" x14ac:dyDescent="0.25">
      <c r="B63" s="37">
        <v>59</v>
      </c>
      <c r="D63" s="9">
        <v>6.6819050490622383</v>
      </c>
      <c r="E63" s="9">
        <v>7.1033162488684285</v>
      </c>
      <c r="F63" s="9">
        <v>384.29802721723917</v>
      </c>
      <c r="G63" s="9">
        <v>408.53475185544647</v>
      </c>
      <c r="H63" s="9">
        <v>2004.3959837857549</v>
      </c>
      <c r="I63" s="24"/>
      <c r="J63" s="9">
        <v>6.7185399385797346</v>
      </c>
      <c r="K63" s="9">
        <v>6.9079971706661389</v>
      </c>
      <c r="L63" s="22">
        <v>386.40501851171604</v>
      </c>
      <c r="M63" s="22">
        <v>397.30131829422521</v>
      </c>
      <c r="N63" s="22">
        <v>679.54910802112113</v>
      </c>
    </row>
    <row r="64" spans="2:32" x14ac:dyDescent="0.25">
      <c r="B64" s="37">
        <v>60</v>
      </c>
      <c r="D64" s="9">
        <v>6.7809819889902592</v>
      </c>
      <c r="E64" s="9">
        <v>7.2097889604688516</v>
      </c>
      <c r="F64" s="9">
        <v>383.49632559377238</v>
      </c>
      <c r="G64" s="9">
        <v>407.74737038610942</v>
      </c>
      <c r="H64" s="9">
        <v>2039.5731576339394</v>
      </c>
      <c r="I64" s="24"/>
      <c r="J64" s="9">
        <v>6.8265676349574393</v>
      </c>
      <c r="K64" s="9">
        <v>7.0192360449812057</v>
      </c>
      <c r="L64" s="22">
        <v>386.07440761148251</v>
      </c>
      <c r="M64" s="22">
        <v>396.97070956628409</v>
      </c>
      <c r="N64" s="22">
        <v>691.06702675215888</v>
      </c>
    </row>
    <row r="65" spans="2:29" x14ac:dyDescent="0.25">
      <c r="B65" s="37">
        <v>61</v>
      </c>
      <c r="D65" s="9">
        <v>6.8799613415409162</v>
      </c>
      <c r="E65" s="9">
        <v>7.3161390091418133</v>
      </c>
      <c r="F65" s="9">
        <v>382.71548072148516</v>
      </c>
      <c r="G65" s="9">
        <v>406.97898126296718</v>
      </c>
      <c r="H65" s="9">
        <v>2074.6310623883846</v>
      </c>
      <c r="I65" s="24"/>
      <c r="J65" s="9">
        <v>6.9398707847099725</v>
      </c>
      <c r="K65" s="9">
        <v>7.1357518999048626</v>
      </c>
      <c r="L65" s="22">
        <v>386.04809702613824</v>
      </c>
      <c r="M65" s="22">
        <v>396.94448603830131</v>
      </c>
      <c r="N65" s="22">
        <v>702.59040223128181</v>
      </c>
    </row>
    <row r="66" spans="2:29" x14ac:dyDescent="0.25">
      <c r="B66" s="37">
        <v>62</v>
      </c>
      <c r="D66" s="9">
        <v>6.9779738390823276</v>
      </c>
      <c r="E66" s="9">
        <v>7.4212714473046315</v>
      </c>
      <c r="F66" s="9">
        <v>381.90690808628739</v>
      </c>
      <c r="G66" s="9">
        <v>406.1687386437506</v>
      </c>
      <c r="H66" s="9">
        <v>2108.496276205422</v>
      </c>
      <c r="I66" s="24"/>
      <c r="J66" s="9">
        <v>7.0583287322269213</v>
      </c>
      <c r="K66" s="9">
        <v>7.2574223062649157</v>
      </c>
      <c r="L66" s="22">
        <v>386.30475902384427</v>
      </c>
      <c r="M66" s="22">
        <v>397.20121880344959</v>
      </c>
      <c r="N66" s="22">
        <v>714.11289758974385</v>
      </c>
    </row>
    <row r="67" spans="2:29" x14ac:dyDescent="0.25">
      <c r="B67" s="37">
        <v>63</v>
      </c>
      <c r="D67" s="9">
        <v>7.0759283144874212</v>
      </c>
      <c r="E67" s="9">
        <v>7.526331045960621</v>
      </c>
      <c r="F67" s="9">
        <v>381.12087925805622</v>
      </c>
      <c r="G67" s="9">
        <v>405.38029475945973</v>
      </c>
      <c r="H67" s="9">
        <v>2142.2910128307049</v>
      </c>
      <c r="I67" s="24"/>
      <c r="J67" s="9">
        <v>7.1746827938323872</v>
      </c>
      <c r="K67" s="9">
        <v>7.376988087729397</v>
      </c>
      <c r="L67" s="22">
        <v>386.43995434274376</v>
      </c>
      <c r="M67" s="22">
        <v>397.33644284033437</v>
      </c>
      <c r="N67" s="22">
        <v>725.63275258623116</v>
      </c>
    </row>
    <row r="68" spans="2:29" x14ac:dyDescent="0.25">
      <c r="B68" s="37">
        <v>64</v>
      </c>
      <c r="D68" s="9">
        <v>7.1742243072361251</v>
      </c>
      <c r="E68" s="9">
        <v>7.6318210661832637</v>
      </c>
      <c r="F68" s="9">
        <v>380.37752108732587</v>
      </c>
      <c r="G68" s="9">
        <v>404.63931070691524</v>
      </c>
      <c r="H68" s="9">
        <v>2176.5086126065244</v>
      </c>
      <c r="I68" s="24"/>
      <c r="J68" s="9">
        <v>7.281988318069426</v>
      </c>
      <c r="K68" s="9">
        <v>7.4875042972477432</v>
      </c>
      <c r="L68" s="22">
        <v>386.09117116958691</v>
      </c>
      <c r="M68" s="22">
        <v>396.98763263439429</v>
      </c>
      <c r="N68" s="22">
        <v>737.14891107594974</v>
      </c>
    </row>
    <row r="69" spans="2:29" x14ac:dyDescent="0.25">
      <c r="B69" s="37">
        <v>65</v>
      </c>
      <c r="D69" s="9">
        <v>7.2732964714611281</v>
      </c>
      <c r="E69" s="9">
        <v>7.7382890020806636</v>
      </c>
      <c r="F69" s="9">
        <v>379.69755498606543</v>
      </c>
      <c r="G69" s="9">
        <v>403.97217759436842</v>
      </c>
      <c r="H69" s="9">
        <v>2211.6857864547082</v>
      </c>
      <c r="I69" s="24"/>
      <c r="J69" s="9">
        <v>7.4004178627387383</v>
      </c>
      <c r="K69" s="9">
        <v>7.609148025056343</v>
      </c>
      <c r="L69" s="22">
        <v>386.33384179823202</v>
      </c>
      <c r="M69" s="22">
        <v>397.23045966535955</v>
      </c>
      <c r="N69" s="22">
        <v>748.67756727902713</v>
      </c>
    </row>
    <row r="70" spans="2:29" x14ac:dyDescent="0.25">
      <c r="B70" s="37">
        <v>66</v>
      </c>
      <c r="D70" s="9">
        <v>7.3719857814645113</v>
      </c>
      <c r="E70" s="9">
        <v>7.8442749213538203</v>
      </c>
      <c r="F70" s="9">
        <v>379.01851009878658</v>
      </c>
      <c r="G70" s="9">
        <v>403.30047854570921</v>
      </c>
      <c r="H70" s="9">
        <v>2246.3913052503731</v>
      </c>
      <c r="I70" s="24"/>
      <c r="J70" s="9">
        <v>7.5144647076203208</v>
      </c>
      <c r="K70" s="9">
        <v>7.7264063434689181</v>
      </c>
      <c r="L70" s="22">
        <v>386.34382947851577</v>
      </c>
      <c r="M70" s="22">
        <v>397.24045969845042</v>
      </c>
      <c r="N70" s="22">
        <v>760.19654215485411</v>
      </c>
    </row>
    <row r="71" spans="2:29" x14ac:dyDescent="0.25">
      <c r="B71" s="37">
        <v>67</v>
      </c>
      <c r="D71" s="9">
        <v>7.4701122592055871</v>
      </c>
      <c r="E71" s="9">
        <v>7.949552114255046</v>
      </c>
      <c r="F71" s="9">
        <v>378.33123001107271</v>
      </c>
      <c r="G71" s="9">
        <v>402.6129360662481</v>
      </c>
      <c r="H71" s="9">
        <v>2280.4028947733668</v>
      </c>
      <c r="I71" s="24"/>
      <c r="J71" s="9">
        <v>7.6206459863144955</v>
      </c>
      <c r="K71" s="9">
        <v>7.8357983074443966</v>
      </c>
      <c r="L71" s="22">
        <v>385.95515963342632</v>
      </c>
      <c r="M71" s="22">
        <v>396.85176191574186</v>
      </c>
      <c r="N71" s="22">
        <v>771.71270064457428</v>
      </c>
    </row>
    <row r="72" spans="2:29" x14ac:dyDescent="0.25">
      <c r="B72" s="37">
        <v>68</v>
      </c>
      <c r="D72" s="9">
        <v>7.5687998306725026</v>
      </c>
      <c r="E72" s="9">
        <v>8.0555362949917324</v>
      </c>
      <c r="F72" s="9">
        <v>377.69216329153272</v>
      </c>
      <c r="G72" s="9">
        <v>401.98089496291419</v>
      </c>
      <c r="H72" s="9">
        <v>2315.1084135690307</v>
      </c>
      <c r="I72" s="24"/>
      <c r="J72" s="9">
        <v>7.7425554313126685</v>
      </c>
      <c r="K72" s="9">
        <v>7.9609219355818599</v>
      </c>
      <c r="L72" s="22">
        <v>386.3627755626955</v>
      </c>
      <c r="M72" s="22">
        <v>397.25952527638333</v>
      </c>
      <c r="N72" s="22">
        <v>783.24135684764997</v>
      </c>
    </row>
    <row r="73" spans="2:29" x14ac:dyDescent="0.25">
      <c r="B73" s="37">
        <v>69</v>
      </c>
      <c r="D73" s="9">
        <v>7.6671880213341277</v>
      </c>
      <c r="E73" s="9">
        <v>8.1611435886773833</v>
      </c>
      <c r="F73" s="9">
        <v>377.0568972987171</v>
      </c>
      <c r="G73" s="9">
        <v>401.34863934386226</v>
      </c>
      <c r="H73" s="9">
        <v>2349.4452824385912</v>
      </c>
      <c r="I73" s="24"/>
      <c r="J73" s="9">
        <v>7.853482044305875</v>
      </c>
      <c r="K73" s="9">
        <v>8.0750595294500069</v>
      </c>
      <c r="L73" s="22">
        <v>386.21846293289343</v>
      </c>
      <c r="M73" s="22">
        <v>397.11519832365553</v>
      </c>
      <c r="N73" s="22">
        <v>794.75857148215937</v>
      </c>
    </row>
    <row r="74" spans="2:29" x14ac:dyDescent="0.25">
      <c r="B74" s="37">
        <v>70</v>
      </c>
      <c r="D74" s="9">
        <v>7.7655885552115773</v>
      </c>
      <c r="E74" s="9">
        <v>8.2667666449720638</v>
      </c>
      <c r="F74" s="9">
        <v>376.44038010574963</v>
      </c>
      <c r="G74" s="9">
        <v>400.73521227059518</v>
      </c>
      <c r="H74" s="9">
        <v>2383.798415275478</v>
      </c>
      <c r="I74" s="24"/>
      <c r="J74" s="9">
        <v>7.9639439438321231</v>
      </c>
      <c r="K74" s="9">
        <v>8.1887328532416426</v>
      </c>
      <c r="L74" s="22">
        <v>386.05574632782822</v>
      </c>
      <c r="M74" s="22">
        <v>396.95248929844149</v>
      </c>
      <c r="N74" s="22">
        <v>806.27737033385608</v>
      </c>
    </row>
    <row r="75" spans="2:29" x14ac:dyDescent="0.25">
      <c r="B75" s="37">
        <v>71</v>
      </c>
      <c r="D75" s="9">
        <v>7.8646555846291664</v>
      </c>
      <c r="E75" s="9">
        <v>8.3732294460620587</v>
      </c>
      <c r="F75" s="9">
        <v>375.87308321213737</v>
      </c>
      <c r="G75" s="9">
        <v>400.17919849981627</v>
      </c>
      <c r="H75" s="9">
        <v>2418.9755891236609</v>
      </c>
      <c r="I75" s="24"/>
      <c r="J75" s="9">
        <v>8.0784007309111363</v>
      </c>
      <c r="K75" s="9">
        <v>8.3064025918198094</v>
      </c>
      <c r="L75" s="22">
        <v>386.08853973024014</v>
      </c>
      <c r="M75" s="22">
        <v>396.98536305780476</v>
      </c>
      <c r="N75" s="22">
        <v>817.80162593363752</v>
      </c>
      <c r="O75" s="28"/>
    </row>
    <row r="76" spans="2:29" x14ac:dyDescent="0.25">
      <c r="B76" s="37">
        <v>72</v>
      </c>
      <c r="D76" s="9">
        <v>7.9623959808729037</v>
      </c>
      <c r="E76" s="9">
        <v>8.4780213950633083</v>
      </c>
      <c r="F76" s="9">
        <v>375.25902179374424</v>
      </c>
      <c r="G76" s="9">
        <v>399.55988412285853</v>
      </c>
      <c r="H76" s="9">
        <v>2452.5155235941365</v>
      </c>
      <c r="I76" s="24"/>
      <c r="J76" s="9">
        <v>8.1943805334059814</v>
      </c>
      <c r="K76" s="9">
        <v>8.4255946068297245</v>
      </c>
      <c r="L76" s="22">
        <v>386.19220025710405</v>
      </c>
      <c r="M76" s="22">
        <v>397.08906688196998</v>
      </c>
      <c r="N76" s="22">
        <v>829.32324117144265</v>
      </c>
    </row>
    <row r="77" spans="2:29" x14ac:dyDescent="0.25">
      <c r="B77" s="37">
        <v>73</v>
      </c>
      <c r="D77" s="9">
        <v>8.0614614231114068</v>
      </c>
      <c r="E77" s="9">
        <v>8.5844826089742128</v>
      </c>
      <c r="F77" s="9">
        <v>374.72337649402368</v>
      </c>
      <c r="G77" s="9">
        <v>399.03513021432803</v>
      </c>
      <c r="H77" s="9">
        <v>2487.6926974423186</v>
      </c>
      <c r="I77" s="24"/>
      <c r="J77" s="9">
        <v>8.3049512203766032</v>
      </c>
      <c r="K77" s="9">
        <v>8.5393767673313352</v>
      </c>
      <c r="L77" s="22">
        <v>386.04158719853433</v>
      </c>
      <c r="M77" s="22">
        <v>396.93846158405131</v>
      </c>
      <c r="N77" s="22">
        <v>840.84221604726952</v>
      </c>
    </row>
    <row r="78" spans="2:29" x14ac:dyDescent="0.25">
      <c r="B78" s="37">
        <v>74</v>
      </c>
      <c r="D78" s="9">
        <v>8.1601441485671025</v>
      </c>
      <c r="E78" s="9">
        <v>8.6904619436996828</v>
      </c>
      <c r="F78" s="9">
        <v>374.18465855765828</v>
      </c>
      <c r="G78" s="9">
        <v>398.5024622000829</v>
      </c>
      <c r="H78" s="9">
        <v>2522.398216237988</v>
      </c>
      <c r="I78" s="24"/>
      <c r="J78" s="9">
        <v>8.4213129380656184</v>
      </c>
      <c r="K78" s="9">
        <v>8.6589518799099547</v>
      </c>
      <c r="L78" s="22">
        <v>386.16059336287611</v>
      </c>
      <c r="M78" s="22">
        <v>397.05756340349001</v>
      </c>
      <c r="N78" s="22">
        <v>852.36805586423702</v>
      </c>
    </row>
    <row r="79" spans="2:29" x14ac:dyDescent="0.25">
      <c r="B79" s="37">
        <v>75</v>
      </c>
      <c r="D79" s="9">
        <v>8.2584310051254999</v>
      </c>
      <c r="E79" s="9">
        <v>8.7959428277320146</v>
      </c>
      <c r="F79" s="9">
        <v>373.64239583912138</v>
      </c>
      <c r="G79" s="9">
        <v>397.96144688718414</v>
      </c>
      <c r="H79" s="9">
        <v>2556.6158160138016</v>
      </c>
      <c r="I79" s="24"/>
      <c r="J79" s="9">
        <v>8.5341986154440832</v>
      </c>
      <c r="K79" s="9">
        <v>8.7750490308194102</v>
      </c>
      <c r="L79" s="22">
        <v>386.11915692731293</v>
      </c>
      <c r="M79" s="22">
        <v>397.01613314275056</v>
      </c>
      <c r="N79" s="22">
        <v>863.88703074006537</v>
      </c>
      <c r="R79" s="29"/>
      <c r="S79" s="29"/>
      <c r="T79" s="29"/>
      <c r="U79" s="29"/>
      <c r="V79" s="29"/>
      <c r="W79" s="29"/>
      <c r="X79" s="29"/>
      <c r="Y79" s="29"/>
      <c r="Z79" s="29"/>
      <c r="AA79" s="29"/>
      <c r="AB79" s="29"/>
      <c r="AC79" s="29"/>
    </row>
    <row r="80" spans="2:29" x14ac:dyDescent="0.25">
      <c r="B80" s="37">
        <v>76</v>
      </c>
      <c r="D80" s="9">
        <v>8.3569454031171357</v>
      </c>
      <c r="E80" s="9">
        <v>8.9017105226796289</v>
      </c>
      <c r="F80" s="9">
        <v>373.12456256180423</v>
      </c>
      <c r="G80" s="9">
        <v>397.4474744788626</v>
      </c>
      <c r="H80" s="9">
        <v>2591.1153245566452</v>
      </c>
      <c r="I80" s="24"/>
      <c r="J80" s="9">
        <v>8.6470860496287401</v>
      </c>
      <c r="K80" s="9">
        <v>8.8911479385350614</v>
      </c>
      <c r="L80" s="22">
        <v>386.07888936291761</v>
      </c>
      <c r="M80" s="22">
        <v>396.9758715906836</v>
      </c>
      <c r="N80" s="22">
        <v>875.40600561589349</v>
      </c>
      <c r="V80" s="29"/>
      <c r="W80" s="29"/>
      <c r="X80" s="29"/>
      <c r="Y80" s="29"/>
      <c r="Z80" s="29"/>
      <c r="AA80" s="29"/>
      <c r="AB80" s="29"/>
      <c r="AC80" s="29"/>
    </row>
    <row r="81" spans="2:29" x14ac:dyDescent="0.25">
      <c r="B81" s="37">
        <v>77</v>
      </c>
      <c r="D81" s="9">
        <v>8.4543747213276319</v>
      </c>
      <c r="E81" s="9">
        <v>9.006111607806444</v>
      </c>
      <c r="F81" s="9">
        <v>372.5723615649967</v>
      </c>
      <c r="G81" s="9">
        <v>396.88662743723955</v>
      </c>
      <c r="H81" s="9">
        <v>2624.2757664561268</v>
      </c>
      <c r="I81" s="24"/>
      <c r="J81" s="9">
        <v>8.7663944183249747</v>
      </c>
      <c r="K81" s="9">
        <v>9.013668716808791</v>
      </c>
      <c r="L81" s="22">
        <v>386.32262923078088</v>
      </c>
      <c r="M81" s="22">
        <v>397.21965856495922</v>
      </c>
      <c r="N81" s="22">
        <v>886.92832495022435</v>
      </c>
      <c r="V81" s="29"/>
      <c r="W81" s="29"/>
      <c r="X81" s="29"/>
      <c r="Y81" s="29"/>
      <c r="Z81" s="29"/>
      <c r="AA81" s="29"/>
      <c r="AB81" s="29"/>
      <c r="AC81" s="29"/>
    </row>
    <row r="82" spans="2:29" x14ac:dyDescent="0.25">
      <c r="B82" s="37">
        <v>78</v>
      </c>
      <c r="D82" s="9">
        <v>6.804703472667045</v>
      </c>
      <c r="E82" s="9">
        <v>7.0604380972720859</v>
      </c>
      <c r="F82" s="9">
        <v>888.08743089012978</v>
      </c>
      <c r="G82" s="9">
        <v>921.4635664803742</v>
      </c>
      <c r="H82" s="9">
        <v>1216.3735911837398</v>
      </c>
      <c r="I82" s="24"/>
      <c r="J82" s="9">
        <v>6.575986692402747</v>
      </c>
      <c r="K82" s="9">
        <v>6.6576834470163817</v>
      </c>
      <c r="L82" s="22">
        <v>858.23741632266604</v>
      </c>
      <c r="M82" s="22">
        <v>868.89972676842115</v>
      </c>
      <c r="N82" s="22">
        <v>293.02394403518747</v>
      </c>
      <c r="V82" s="29"/>
      <c r="W82" s="29"/>
      <c r="X82" s="29"/>
      <c r="Y82" s="29"/>
      <c r="Z82" s="29"/>
      <c r="AA82" s="29"/>
      <c r="AB82" s="29"/>
      <c r="AC82" s="29"/>
    </row>
    <row r="83" spans="2:29" x14ac:dyDescent="0.25">
      <c r="B83" s="37">
        <v>79</v>
      </c>
      <c r="D83" s="9">
        <v>6.8807270132518035</v>
      </c>
      <c r="E83" s="9">
        <v>7.1397961808174584</v>
      </c>
      <c r="F83" s="9">
        <v>886.64211886810574</v>
      </c>
      <c r="G83" s="9">
        <v>920.02545688186785</v>
      </c>
      <c r="H83" s="9">
        <v>1232.2339777161408</v>
      </c>
      <c r="I83" s="24"/>
      <c r="J83" s="9">
        <v>6.6588862157050723</v>
      </c>
      <c r="K83" s="9">
        <v>6.7416244994500127</v>
      </c>
      <c r="L83" s="22">
        <v>858.05598336099933</v>
      </c>
      <c r="M83" s="22">
        <v>868.71753802954515</v>
      </c>
      <c r="N83" s="22">
        <v>296.75962454447216</v>
      </c>
      <c r="V83" s="29"/>
      <c r="W83" s="29"/>
      <c r="X83" s="29"/>
      <c r="Y83" s="29"/>
      <c r="Z83" s="29"/>
      <c r="AA83" s="29"/>
      <c r="AB83" s="29"/>
      <c r="AC83" s="29"/>
    </row>
    <row r="84" spans="2:29" x14ac:dyDescent="0.25">
      <c r="B84" s="37">
        <v>80</v>
      </c>
      <c r="D84" s="9">
        <v>6.9568819161501292</v>
      </c>
      <c r="E84" s="9">
        <v>7.2193198206083338</v>
      </c>
      <c r="F84" s="9">
        <v>885.24965524482707</v>
      </c>
      <c r="G84" s="9">
        <v>918.64436673266641</v>
      </c>
      <c r="H84" s="9">
        <v>1248.2570039218251</v>
      </c>
      <c r="I84" s="24"/>
      <c r="J84" s="9">
        <v>6.7422801014903522</v>
      </c>
      <c r="K84" s="9">
        <v>6.8260691798323521</v>
      </c>
      <c r="L84" s="22">
        <v>857.94199288513403</v>
      </c>
      <c r="M84" s="22">
        <v>868.60398968334687</v>
      </c>
      <c r="N84" s="22">
        <v>300.52853774866298</v>
      </c>
      <c r="V84" s="29"/>
      <c r="W84" s="29"/>
      <c r="X84" s="29"/>
      <c r="Y84" s="29"/>
      <c r="Z84" s="29"/>
      <c r="AA84" s="29"/>
      <c r="AB84" s="29"/>
      <c r="AC84" s="29"/>
    </row>
    <row r="85" spans="2:29" x14ac:dyDescent="0.25">
      <c r="B85" s="37">
        <v>81</v>
      </c>
      <c r="D85" s="9">
        <v>7.0330145080591624</v>
      </c>
      <c r="E85" s="9">
        <v>7.2988154504212686</v>
      </c>
      <c r="F85" s="9">
        <v>883.88876945928587</v>
      </c>
      <c r="G85" s="9">
        <v>917.29385736239533</v>
      </c>
      <c r="H85" s="9">
        <v>1264.2529235152954</v>
      </c>
      <c r="I85" s="24"/>
      <c r="J85" s="9">
        <v>6.828792982667248</v>
      </c>
      <c r="K85" s="9">
        <v>6.913638646522414</v>
      </c>
      <c r="L85" s="22">
        <v>858.22280324111421</v>
      </c>
      <c r="M85" s="22">
        <v>868.88595903767384</v>
      </c>
      <c r="N85" s="22">
        <v>304.31822138717001</v>
      </c>
      <c r="V85" s="29"/>
      <c r="W85" s="29"/>
      <c r="X85" s="29"/>
      <c r="Y85" s="29"/>
      <c r="Z85" s="29"/>
      <c r="AA85" s="29"/>
      <c r="AB85" s="29"/>
      <c r="AC85" s="29"/>
    </row>
    <row r="86" spans="2:29" x14ac:dyDescent="0.25">
      <c r="B86" s="37">
        <v>82</v>
      </c>
      <c r="D86" s="9">
        <v>7.1090369789647747</v>
      </c>
      <c r="E86" s="9">
        <v>7.3781724642874877</v>
      </c>
      <c r="F86" s="9">
        <v>882.54740509982435</v>
      </c>
      <c r="G86" s="9">
        <v>915.95907884616497</v>
      </c>
      <c r="H86" s="9">
        <v>1280.1133100476941</v>
      </c>
      <c r="I86" s="24"/>
      <c r="J86" s="9">
        <v>6.9108354300295769</v>
      </c>
      <c r="K86" s="9">
        <v>6.9967284139321446</v>
      </c>
      <c r="L86" s="22">
        <v>857.94178506758794</v>
      </c>
      <c r="M86" s="22">
        <v>868.60492133819582</v>
      </c>
      <c r="N86" s="22">
        <v>308.07467233077074</v>
      </c>
      <c r="V86" s="29"/>
      <c r="W86" s="29"/>
      <c r="X86" s="29"/>
      <c r="Y86" s="29"/>
      <c r="Z86" s="29"/>
      <c r="AA86" s="29"/>
      <c r="AB86" s="29"/>
      <c r="AC86" s="29"/>
    </row>
    <row r="87" spans="2:29" x14ac:dyDescent="0.25">
      <c r="B87" s="37">
        <v>83</v>
      </c>
      <c r="D87" s="9">
        <v>7.1855728301646504</v>
      </c>
      <c r="E87" s="9">
        <v>7.458176214782549</v>
      </c>
      <c r="F87" s="9">
        <v>881.30132821037978</v>
      </c>
      <c r="G87" s="9">
        <v>914.73578508901028</v>
      </c>
      <c r="H87" s="9">
        <v>1296.6079913058979</v>
      </c>
      <c r="I87" s="24"/>
      <c r="J87" s="9">
        <v>6.9937334896134784</v>
      </c>
      <c r="K87" s="9">
        <v>7.0806830590292176</v>
      </c>
      <c r="L87" s="22">
        <v>857.77247816226497</v>
      </c>
      <c r="M87" s="22">
        <v>868.43673177496635</v>
      </c>
      <c r="N87" s="22">
        <v>311.86435596927731</v>
      </c>
      <c r="V87" s="29"/>
      <c r="W87" s="29"/>
      <c r="X87" s="29"/>
      <c r="Y87" s="29"/>
      <c r="Z87" s="29"/>
      <c r="AA87" s="29"/>
      <c r="AB87" s="29"/>
      <c r="AC87" s="29"/>
    </row>
    <row r="88" spans="2:29" x14ac:dyDescent="0.25">
      <c r="B88" s="37">
        <v>84</v>
      </c>
      <c r="D88" s="9">
        <v>7.2615946175155424</v>
      </c>
      <c r="E88" s="9">
        <v>7.5375325450940487</v>
      </c>
      <c r="F88" s="9">
        <v>880.02262113053041</v>
      </c>
      <c r="G88" s="9">
        <v>913.46315741593992</v>
      </c>
      <c r="H88" s="9">
        <v>1312.4683778382994</v>
      </c>
      <c r="I88" s="24"/>
      <c r="J88" s="9">
        <v>7.0785206481095022</v>
      </c>
      <c r="K88" s="9">
        <v>7.166521012122308</v>
      </c>
      <c r="L88" s="22">
        <v>857.83613966145117</v>
      </c>
      <c r="M88" s="22">
        <v>868.50078221973899</v>
      </c>
      <c r="N88" s="22">
        <v>315.63326917346842</v>
      </c>
      <c r="V88" s="29"/>
      <c r="W88" s="29"/>
      <c r="X88" s="29"/>
      <c r="Y88" s="29"/>
      <c r="Z88" s="29"/>
      <c r="AA88" s="29"/>
      <c r="AB88" s="29"/>
      <c r="AC88" s="29"/>
    </row>
    <row r="89" spans="2:29" x14ac:dyDescent="0.25">
      <c r="B89" s="37">
        <v>85</v>
      </c>
      <c r="D89" s="9">
        <v>7.3386786431188229</v>
      </c>
      <c r="E89" s="9">
        <v>7.6182269447089404</v>
      </c>
      <c r="F89" s="9">
        <v>878.90121797806103</v>
      </c>
      <c r="G89" s="9">
        <v>912.38072494375035</v>
      </c>
      <c r="H89" s="9">
        <v>1329.6407244018453</v>
      </c>
      <c r="I89" s="24"/>
      <c r="J89" s="9">
        <v>7.1531083300694522</v>
      </c>
      <c r="K89" s="9">
        <v>7.2421502232135602</v>
      </c>
      <c r="L89" s="22">
        <v>856.67678465823008</v>
      </c>
      <c r="M89" s="22">
        <v>867.34069735166963</v>
      </c>
      <c r="N89" s="22">
        <v>319.36894968275288</v>
      </c>
      <c r="V89" s="29"/>
      <c r="W89" s="29"/>
      <c r="X89" s="29"/>
      <c r="Y89" s="29"/>
      <c r="Z89" s="29"/>
      <c r="AA89" s="29"/>
      <c r="AB89" s="29"/>
      <c r="AC89" s="29"/>
    </row>
    <row r="90" spans="2:29" x14ac:dyDescent="0.25">
      <c r="B90" s="37">
        <v>86</v>
      </c>
      <c r="D90" s="9">
        <v>7.4146997683483704</v>
      </c>
      <c r="E90" s="9">
        <v>7.6975826128990992</v>
      </c>
      <c r="F90" s="9">
        <v>877.68007815518888</v>
      </c>
      <c r="G90" s="9">
        <v>911.16499930788314</v>
      </c>
      <c r="H90" s="9">
        <v>1345.501110934247</v>
      </c>
      <c r="I90" s="24"/>
      <c r="J90" s="9">
        <v>7.2415773799866816</v>
      </c>
      <c r="K90" s="9">
        <v>7.3316758586439565</v>
      </c>
      <c r="L90" s="22">
        <v>857.18753279329542</v>
      </c>
      <c r="M90" s="22">
        <v>867.85251482360559</v>
      </c>
      <c r="N90" s="22">
        <v>323.158633321259</v>
      </c>
    </row>
    <row r="91" spans="2:29" x14ac:dyDescent="0.25">
      <c r="B91" s="37">
        <v>87</v>
      </c>
      <c r="D91" s="9">
        <v>7.4902814944890856</v>
      </c>
      <c r="E91" s="9">
        <v>7.7763849022272833</v>
      </c>
      <c r="F91" s="9">
        <v>876.4355965562379</v>
      </c>
      <c r="G91" s="9">
        <v>909.9124706927156</v>
      </c>
      <c r="H91" s="9">
        <v>1360.8193652223713</v>
      </c>
      <c r="I91" s="24"/>
      <c r="J91" s="9">
        <v>7.3244523618498256</v>
      </c>
      <c r="K91" s="9">
        <v>7.415598160554504</v>
      </c>
      <c r="L91" s="22">
        <v>857.03197936267509</v>
      </c>
      <c r="M91" s="22">
        <v>867.69692199802239</v>
      </c>
      <c r="N91" s="22">
        <v>326.91508426486052</v>
      </c>
    </row>
    <row r="92" spans="2:29" x14ac:dyDescent="0.25">
      <c r="B92" s="37">
        <v>88</v>
      </c>
      <c r="D92" s="9">
        <v>7.5666839781772657</v>
      </c>
      <c r="E92" s="9">
        <v>7.8562210912787034</v>
      </c>
      <c r="F92" s="9">
        <v>875.31434390010224</v>
      </c>
      <c r="G92" s="9">
        <v>908.80801020360298</v>
      </c>
      <c r="H92" s="9">
        <v>1377.1514068072918</v>
      </c>
      <c r="I92" s="24"/>
      <c r="J92" s="9">
        <v>7.4087649988047639</v>
      </c>
      <c r="K92" s="9">
        <v>7.5009673830226067</v>
      </c>
      <c r="L92" s="22">
        <v>857.0462692431621</v>
      </c>
      <c r="M92" s="22">
        <v>867.71224520838371</v>
      </c>
      <c r="N92" s="22">
        <v>330.7047679033675</v>
      </c>
    </row>
    <row r="93" spans="2:29" x14ac:dyDescent="0.25">
      <c r="B93" s="37">
        <v>89</v>
      </c>
      <c r="D93" s="9">
        <v>7.6433847197243274</v>
      </c>
      <c r="E93" s="9">
        <v>7.9364330444347448</v>
      </c>
      <c r="F93" s="9">
        <v>874.25240274709404</v>
      </c>
      <c r="G93" s="9">
        <v>907.77134905081141</v>
      </c>
      <c r="H93" s="9">
        <v>1393.8520983183189</v>
      </c>
      <c r="I93" s="24"/>
      <c r="J93" s="9">
        <v>7.494041577328117</v>
      </c>
      <c r="K93" s="9">
        <v>7.5873092334332748</v>
      </c>
      <c r="L93" s="22">
        <v>857.17049389894214</v>
      </c>
      <c r="M93" s="22">
        <v>867.83847352295675</v>
      </c>
      <c r="N93" s="22">
        <v>334.52560719334753</v>
      </c>
    </row>
    <row r="94" spans="2:29" x14ac:dyDescent="0.25">
      <c r="B94" s="37">
        <v>90</v>
      </c>
      <c r="D94" s="9">
        <v>7.7188557431355855</v>
      </c>
      <c r="E94" s="9">
        <v>8.0150961360901878</v>
      </c>
      <c r="F94" s="9">
        <v>873.07496763361075</v>
      </c>
      <c r="G94" s="9">
        <v>906.58253405245694</v>
      </c>
      <c r="H94" s="9">
        <v>1409.0348195453782</v>
      </c>
      <c r="I94" s="24"/>
      <c r="J94" s="9">
        <v>7.5824748112862252</v>
      </c>
      <c r="K94" s="9">
        <v>7.6767955783548949</v>
      </c>
      <c r="L94" s="22">
        <v>857.64900533782463</v>
      </c>
      <c r="M94" s="22">
        <v>868.3175685803609</v>
      </c>
      <c r="N94" s="22">
        <v>338.30282857126497</v>
      </c>
    </row>
    <row r="95" spans="2:29" x14ac:dyDescent="0.25">
      <c r="B95" s="37">
        <v>91</v>
      </c>
      <c r="D95" s="9">
        <v>7.7959378664813483</v>
      </c>
      <c r="E95" s="9">
        <v>8.0957886334475599</v>
      </c>
      <c r="F95" s="9">
        <v>872.10363819242707</v>
      </c>
      <c r="G95" s="9">
        <v>905.6468692012769</v>
      </c>
      <c r="H95" s="9">
        <v>1426.2071661089244</v>
      </c>
      <c r="I95" s="24"/>
      <c r="J95" s="9">
        <v>7.6562569491999746</v>
      </c>
      <c r="K95" s="9">
        <v>7.751616929033502</v>
      </c>
      <c r="L95" s="22">
        <v>856.47803441858355</v>
      </c>
      <c r="M95" s="22">
        <v>867.14561371117111</v>
      </c>
      <c r="N95" s="22">
        <v>342.03020090682304</v>
      </c>
    </row>
    <row r="96" spans="2:29" x14ac:dyDescent="0.25">
      <c r="B96" s="37">
        <v>92</v>
      </c>
      <c r="D96" s="9">
        <v>7.8719571320842139</v>
      </c>
      <c r="E96" s="9">
        <v>8.1751424420110297</v>
      </c>
      <c r="F96" s="9">
        <v>871.0358188914397</v>
      </c>
      <c r="G96" s="9">
        <v>904.58341833549798</v>
      </c>
      <c r="H96" s="9">
        <v>1442.0675526413261</v>
      </c>
      <c r="I96" s="24"/>
      <c r="J96" s="9">
        <v>7.7492548151455969</v>
      </c>
      <c r="K96" s="9">
        <v>7.8456858577825423</v>
      </c>
      <c r="L96" s="22">
        <v>857.45874887934622</v>
      </c>
      <c r="M96" s="22">
        <v>868.1288898341902</v>
      </c>
      <c r="N96" s="22">
        <v>345.8718106311199</v>
      </c>
    </row>
    <row r="97" spans="2:14" x14ac:dyDescent="0.25">
      <c r="B97" s="37">
        <v>93</v>
      </c>
      <c r="D97" s="9">
        <v>7.9480858724707071</v>
      </c>
      <c r="E97" s="9">
        <v>8.2546342203014227</v>
      </c>
      <c r="F97" s="9">
        <v>870.00294663150476</v>
      </c>
      <c r="G97" s="9">
        <v>903.55793964202155</v>
      </c>
      <c r="H97" s="9">
        <v>1458.0634722347959</v>
      </c>
      <c r="I97" s="24"/>
      <c r="J97" s="9">
        <v>7.8294245960297868</v>
      </c>
      <c r="K97" s="9">
        <v>7.9269029587141393</v>
      </c>
      <c r="L97" s="22">
        <v>857.01420169201845</v>
      </c>
      <c r="M97" s="22">
        <v>867.68425032120365</v>
      </c>
      <c r="N97" s="22">
        <v>349.62826157472142</v>
      </c>
    </row>
    <row r="98" spans="2:14" x14ac:dyDescent="0.25">
      <c r="B98" s="37">
        <v>94</v>
      </c>
      <c r="D98" s="9">
        <v>8.0246182687805767</v>
      </c>
      <c r="E98" s="9">
        <v>8.3346345159064814</v>
      </c>
      <c r="F98" s="9">
        <v>869.03576478473087</v>
      </c>
      <c r="G98" s="9">
        <v>902.60935014328948</v>
      </c>
      <c r="H98" s="9">
        <v>1474.5581534929966</v>
      </c>
      <c r="I98" s="24"/>
      <c r="J98" s="9">
        <v>7.9123750303973885</v>
      </c>
      <c r="K98" s="9">
        <v>8.0109099785949045</v>
      </c>
      <c r="L98" s="22">
        <v>856.88024719584598</v>
      </c>
      <c r="M98" s="22">
        <v>867.55120887859584</v>
      </c>
      <c r="N98" s="22">
        <v>353.41794521322748</v>
      </c>
    </row>
    <row r="99" spans="2:14" x14ac:dyDescent="0.25">
      <c r="B99" s="37">
        <v>95</v>
      </c>
      <c r="D99" s="9">
        <v>8.1006366665992893</v>
      </c>
      <c r="E99" s="9">
        <v>8.4139874566858062</v>
      </c>
      <c r="F99" s="9">
        <v>868.03386650904235</v>
      </c>
      <c r="G99" s="9">
        <v>901.61136283275425</v>
      </c>
      <c r="H99" s="9">
        <v>1490.418540025398</v>
      </c>
      <c r="I99" s="24"/>
      <c r="J99" s="9">
        <v>8.0016967956127907</v>
      </c>
      <c r="K99" s="9">
        <v>8.1012970156976287</v>
      </c>
      <c r="L99" s="22">
        <v>857.43184073020086</v>
      </c>
      <c r="M99" s="22">
        <v>868.10462704363601</v>
      </c>
      <c r="N99" s="22">
        <v>357.23878450320848</v>
      </c>
    </row>
    <row r="100" spans="2:14" x14ac:dyDescent="0.25">
      <c r="B100" s="37">
        <v>96</v>
      </c>
      <c r="D100" s="9">
        <v>8.1773353409709948</v>
      </c>
      <c r="E100" s="9">
        <v>8.4941973426664834</v>
      </c>
      <c r="F100" s="9">
        <v>867.12497766790409</v>
      </c>
      <c r="G100" s="9">
        <v>900.72503742910521</v>
      </c>
      <c r="H100" s="9">
        <v>1507.1192315364253</v>
      </c>
      <c r="I100" s="24"/>
      <c r="J100" s="9">
        <v>8.0833156138292956</v>
      </c>
      <c r="K100" s="9">
        <v>8.183968944877634</v>
      </c>
      <c r="L100" s="22">
        <v>857.15512191432947</v>
      </c>
      <c r="M100" s="22">
        <v>867.82840530044632</v>
      </c>
      <c r="N100" s="22">
        <v>361.01600588112598</v>
      </c>
    </row>
    <row r="101" spans="2:14" x14ac:dyDescent="0.25">
      <c r="B101" s="37">
        <v>97</v>
      </c>
      <c r="D101" s="9">
        <v>8.2531863346297758</v>
      </c>
      <c r="E101" s="9">
        <v>8.5733395669720824</v>
      </c>
      <c r="F101" s="9">
        <v>866.14586738644493</v>
      </c>
      <c r="G101" s="9">
        <v>899.74493905167242</v>
      </c>
      <c r="H101" s="9">
        <v>1522.7736078160026</v>
      </c>
      <c r="I101" s="24"/>
      <c r="J101" s="9">
        <v>8.163988584350804</v>
      </c>
      <c r="K101" s="9">
        <v>8.2656811281640081</v>
      </c>
      <c r="L101" s="22">
        <v>856.78484490957089</v>
      </c>
      <c r="M101" s="22">
        <v>867.4571565473492</v>
      </c>
      <c r="N101" s="22">
        <v>364.74337821668399</v>
      </c>
    </row>
    <row r="102" spans="2:14" x14ac:dyDescent="0.25">
      <c r="B102" s="37">
        <v>98</v>
      </c>
      <c r="D102" s="9">
        <v>8.3293136687922544</v>
      </c>
      <c r="E102" s="9">
        <v>8.6528299390384618</v>
      </c>
      <c r="F102" s="9">
        <v>865.21544408226134</v>
      </c>
      <c r="G102" s="9">
        <v>898.8210068644222</v>
      </c>
      <c r="H102" s="9">
        <v>1538.7695274094733</v>
      </c>
      <c r="I102" s="24"/>
      <c r="J102" s="9">
        <v>8.2549713271245171</v>
      </c>
      <c r="K102" s="9">
        <v>8.3577349337411366</v>
      </c>
      <c r="L102" s="22">
        <v>857.49306205681739</v>
      </c>
      <c r="M102" s="22">
        <v>868.16773023115024</v>
      </c>
      <c r="N102" s="22">
        <v>368.58498794098102</v>
      </c>
    </row>
    <row r="103" spans="2:14" x14ac:dyDescent="0.25">
      <c r="B103" s="37">
        <v>99</v>
      </c>
      <c r="D103" s="9">
        <v>8.4057129549203342</v>
      </c>
      <c r="E103" s="9">
        <v>8.7326629305297825</v>
      </c>
      <c r="F103" s="9">
        <v>864.33178113348515</v>
      </c>
      <c r="G103" s="9">
        <v>897.95097040102314</v>
      </c>
      <c r="H103" s="9">
        <v>1555.1015689943936</v>
      </c>
      <c r="I103" s="24"/>
      <c r="J103" s="9">
        <v>8.333037995986917</v>
      </c>
      <c r="K103" s="9">
        <v>8.4368489226509418</v>
      </c>
      <c r="L103" s="22">
        <v>856.85885444236419</v>
      </c>
      <c r="M103" s="22">
        <v>867.53339015704307</v>
      </c>
      <c r="N103" s="22">
        <v>372.34143888458232</v>
      </c>
    </row>
    <row r="104" spans="2:14" x14ac:dyDescent="0.25">
      <c r="B104" s="37">
        <v>100</v>
      </c>
      <c r="D104" s="9">
        <v>8.4824105389596554</v>
      </c>
      <c r="E104" s="9">
        <v>8.8128717261780753</v>
      </c>
      <c r="F104" s="9">
        <v>863.49615770561286</v>
      </c>
      <c r="G104" s="9">
        <v>897.13659094370257</v>
      </c>
      <c r="H104" s="9">
        <v>1571.8022605054205</v>
      </c>
      <c r="I104" s="24"/>
      <c r="J104" s="9">
        <v>8.4173464623986316</v>
      </c>
      <c r="K104" s="9">
        <v>8.5222139745758252</v>
      </c>
      <c r="L104" s="22">
        <v>856.87273623160354</v>
      </c>
      <c r="M104" s="22">
        <v>867.54808534577865</v>
      </c>
      <c r="N104" s="22">
        <v>376.13112252308832</v>
      </c>
    </row>
    <row r="105" spans="2:14" x14ac:dyDescent="0.25">
      <c r="B105" s="37">
        <v>101</v>
      </c>
      <c r="D105" s="9">
        <v>8.5578784780941763</v>
      </c>
      <c r="E105" s="9">
        <v>8.8915317335567821</v>
      </c>
      <c r="F105" s="9">
        <v>862.55314470929659</v>
      </c>
      <c r="G105" s="9">
        <v>896.1822346149828</v>
      </c>
      <c r="H105" s="9">
        <v>1586.9849817324771</v>
      </c>
      <c r="I105" s="24"/>
      <c r="J105" s="9">
        <v>8.5127992240628707</v>
      </c>
      <c r="K105" s="9">
        <v>8.6187377990434797</v>
      </c>
      <c r="L105" s="22">
        <v>858.00958260738298</v>
      </c>
      <c r="M105" s="22">
        <v>868.68718818795389</v>
      </c>
      <c r="N105" s="22">
        <v>379.97273224738541</v>
      </c>
    </row>
    <row r="106" spans="2:14" x14ac:dyDescent="0.25">
      <c r="B106" s="37">
        <v>102</v>
      </c>
      <c r="D106" s="9">
        <v>8.6349575251924673</v>
      </c>
      <c r="E106" s="9">
        <v>8.9722211546666877</v>
      </c>
      <c r="F106" s="9">
        <v>861.78941459221153</v>
      </c>
      <c r="G106" s="9">
        <v>895.44913149989316</v>
      </c>
      <c r="H106" s="9">
        <v>1604.1573282960233</v>
      </c>
      <c r="I106" s="24"/>
      <c r="J106" s="9">
        <v>8.5869176400280356</v>
      </c>
      <c r="K106" s="9">
        <v>8.6939035350560534</v>
      </c>
      <c r="L106" s="22">
        <v>856.99491914829673</v>
      </c>
      <c r="M106" s="22">
        <v>867.67236736698544</v>
      </c>
      <c r="N106" s="22">
        <v>383.72918319098682</v>
      </c>
    </row>
    <row r="107" spans="2:14" x14ac:dyDescent="0.25">
      <c r="B107" s="37">
        <v>103</v>
      </c>
      <c r="D107" s="9">
        <v>8.7116543288725694</v>
      </c>
      <c r="E107" s="9">
        <v>9.0524291699557562</v>
      </c>
      <c r="F107" s="9">
        <v>861.00273575550216</v>
      </c>
      <c r="G107" s="9">
        <v>894.68268440507654</v>
      </c>
      <c r="H107" s="9">
        <v>1620.8580198070499</v>
      </c>
      <c r="I107" s="24"/>
      <c r="J107" s="9">
        <v>8.6712197615267002</v>
      </c>
      <c r="K107" s="9">
        <v>8.779262242067885</v>
      </c>
      <c r="L107" s="22">
        <v>857.00644850745323</v>
      </c>
      <c r="M107" s="22">
        <v>867.68465815765296</v>
      </c>
      <c r="N107" s="22">
        <v>387.51886682949367</v>
      </c>
    </row>
    <row r="108" spans="2:14" x14ac:dyDescent="0.25">
      <c r="B108" s="37">
        <v>104</v>
      </c>
      <c r="D108" s="9">
        <v>8.7865507251740897</v>
      </c>
      <c r="E108" s="9">
        <v>9.1303694607963841</v>
      </c>
      <c r="F108" s="9">
        <v>860.05495587531379</v>
      </c>
      <c r="G108" s="9">
        <v>893.70900474428902</v>
      </c>
      <c r="H108" s="9">
        <v>1635.3359691165492</v>
      </c>
      <c r="I108" s="24"/>
      <c r="J108" s="9">
        <v>8.7625241500112594</v>
      </c>
      <c r="K108" s="9">
        <v>8.8716203206075583</v>
      </c>
      <c r="L108" s="22">
        <v>857.70315985343484</v>
      </c>
      <c r="M108" s="22">
        <v>868.38183287577783</v>
      </c>
      <c r="N108" s="22">
        <v>391.29816525084192</v>
      </c>
    </row>
    <row r="109" spans="2:14" x14ac:dyDescent="0.25">
      <c r="B109" s="37">
        <v>105</v>
      </c>
      <c r="D109" s="9">
        <v>8.8636290111660365</v>
      </c>
      <c r="E109" s="9">
        <v>9.2110581207999367</v>
      </c>
      <c r="F109" s="9">
        <v>859.33676510338478</v>
      </c>
      <c r="G109" s="9">
        <v>893.02032821274247</v>
      </c>
      <c r="H109" s="9">
        <v>1652.5083156800981</v>
      </c>
      <c r="I109" s="24"/>
      <c r="J109" s="9">
        <v>8.8402002400269666</v>
      </c>
      <c r="K109" s="9">
        <v>8.9503495215867694</v>
      </c>
      <c r="L109" s="22">
        <v>857.06532477396286</v>
      </c>
      <c r="M109" s="22">
        <v>867.74439619886357</v>
      </c>
      <c r="N109" s="22">
        <v>395.07538662875925</v>
      </c>
    </row>
    <row r="110" spans="2:14" x14ac:dyDescent="0.25">
      <c r="B110" s="37">
        <v>106</v>
      </c>
      <c r="D110" s="9">
        <v>8.9396445228579111</v>
      </c>
      <c r="E110" s="9">
        <v>9.2904081754524324</v>
      </c>
      <c r="F110" s="9">
        <v>858.53006022763054</v>
      </c>
      <c r="G110" s="9">
        <v>892.21609092131689</v>
      </c>
      <c r="H110" s="9">
        <v>1668.3687022124998</v>
      </c>
      <c r="I110" s="24"/>
      <c r="J110" s="9">
        <v>8.9293989580429987</v>
      </c>
      <c r="K110" s="9">
        <v>9.0406135114901236</v>
      </c>
      <c r="L110" s="22">
        <v>857.54611446165256</v>
      </c>
      <c r="M110" s="22">
        <v>868.22674466176989</v>
      </c>
      <c r="N110" s="22">
        <v>398.89622591874019</v>
      </c>
    </row>
    <row r="111" spans="2:14" x14ac:dyDescent="0.25">
      <c r="B111" s="37">
        <v>107</v>
      </c>
      <c r="D111" s="9">
        <v>9.0167223161477725</v>
      </c>
      <c r="E111" s="9">
        <v>9.3710963427538871</v>
      </c>
      <c r="F111" s="9">
        <v>857.83949806842293</v>
      </c>
      <c r="G111" s="9">
        <v>891.55419243888821</v>
      </c>
      <c r="H111" s="9">
        <v>1685.5410487760457</v>
      </c>
      <c r="I111" s="24"/>
      <c r="J111" s="9">
        <v>9.0097261751182831</v>
      </c>
      <c r="K111" s="9">
        <v>9.1219973140785715</v>
      </c>
      <c r="L111" s="22">
        <v>857.17389410517285</v>
      </c>
      <c r="M111" s="22">
        <v>867.85522753392718</v>
      </c>
      <c r="N111" s="22">
        <v>402.6859095572463</v>
      </c>
    </row>
    <row r="112" spans="2:14" x14ac:dyDescent="0.25">
      <c r="B112" s="37">
        <v>108</v>
      </c>
      <c r="D112" s="9">
        <v>9.0921885229538315</v>
      </c>
      <c r="E112" s="9">
        <v>9.4497546178041425</v>
      </c>
      <c r="F112" s="9">
        <v>857.00981947745811</v>
      </c>
      <c r="G112" s="9">
        <v>890.71321812843223</v>
      </c>
      <c r="H112" s="9">
        <v>1700.7237700031014</v>
      </c>
      <c r="I112" s="24"/>
      <c r="J112" s="9">
        <v>9.094500129906633</v>
      </c>
      <c r="K112" s="9">
        <v>9.2078185889143214</v>
      </c>
      <c r="L112" s="22">
        <v>857.22770649688403</v>
      </c>
      <c r="M112" s="22">
        <v>867.90885678896916</v>
      </c>
      <c r="N112" s="22">
        <v>406.44236050084777</v>
      </c>
    </row>
    <row r="113" spans="2:14" x14ac:dyDescent="0.25">
      <c r="B113" s="37">
        <v>109</v>
      </c>
      <c r="D113" s="9">
        <v>9.1688838570585247</v>
      </c>
      <c r="E113" s="9">
        <v>9.5299611635178092</v>
      </c>
      <c r="F113" s="9">
        <v>856.31015631126854</v>
      </c>
      <c r="G113" s="9">
        <v>890.03227228033199</v>
      </c>
      <c r="H113" s="9">
        <v>1717.4244615141292</v>
      </c>
      <c r="I113" s="24"/>
      <c r="J113" s="9">
        <v>9.183200173235166</v>
      </c>
      <c r="K113" s="9">
        <v>9.2975896950462751</v>
      </c>
      <c r="L113" s="22">
        <v>857.64720094332415</v>
      </c>
      <c r="M113" s="22">
        <v>868.3303888677774</v>
      </c>
      <c r="N113" s="22">
        <v>410.28397022514457</v>
      </c>
    </row>
    <row r="114" spans="2:14" x14ac:dyDescent="0.25">
      <c r="B114" s="37">
        <v>110</v>
      </c>
      <c r="D114" s="9">
        <v>9.2447096240582134</v>
      </c>
      <c r="E114" s="9">
        <v>9.6090724621756696</v>
      </c>
      <c r="F114" s="9">
        <v>855.54274104401122</v>
      </c>
      <c r="G114" s="9">
        <v>889.26234868277902</v>
      </c>
      <c r="H114" s="9">
        <v>1733.051731181492</v>
      </c>
      <c r="I114" s="24"/>
      <c r="J114" s="9">
        <v>9.2634439553881958</v>
      </c>
      <c r="K114" s="9">
        <v>9.3788726899641759</v>
      </c>
      <c r="L114" s="22">
        <v>857.27649167864115</v>
      </c>
      <c r="M114" s="22">
        <v>867.95873265648424</v>
      </c>
      <c r="N114" s="22">
        <v>414.0113425607027</v>
      </c>
    </row>
    <row r="115" spans="2:14" x14ac:dyDescent="0.25">
      <c r="B115" s="37">
        <v>111</v>
      </c>
      <c r="D115" s="9">
        <v>9.3214044920742527</v>
      </c>
      <c r="E115" s="9">
        <v>9.6892785418006753</v>
      </c>
      <c r="F115" s="9">
        <v>854.86885859904737</v>
      </c>
      <c r="G115" s="9">
        <v>888.60670028001221</v>
      </c>
      <c r="H115" s="9">
        <v>1749.7524226925193</v>
      </c>
      <c r="I115" s="24"/>
      <c r="J115" s="9">
        <v>9.3451278254987482</v>
      </c>
      <c r="K115" s="9">
        <v>9.4616096710382305</v>
      </c>
      <c r="L115" s="22">
        <v>857.04453276746335</v>
      </c>
      <c r="M115" s="22">
        <v>867.72711846884727</v>
      </c>
      <c r="N115" s="22">
        <v>417.78856393862026</v>
      </c>
    </row>
    <row r="116" spans="2:14" x14ac:dyDescent="0.25">
      <c r="B116" s="37">
        <v>112</v>
      </c>
      <c r="D116" s="9">
        <v>9.3979322895717647</v>
      </c>
      <c r="E116" s="9">
        <v>9.769274238593372</v>
      </c>
      <c r="F116" s="9">
        <v>854.19182448514994</v>
      </c>
      <c r="G116" s="9">
        <v>887.94363788080614</v>
      </c>
      <c r="H116" s="9">
        <v>1766.2471039507232</v>
      </c>
      <c r="I116" s="24"/>
      <c r="J116" s="9">
        <v>9.4325090329219616</v>
      </c>
      <c r="K116" s="9">
        <v>9.5500619412648593</v>
      </c>
      <c r="L116" s="22">
        <v>857.33455530901779</v>
      </c>
      <c r="M116" s="22">
        <v>868.01911124717617</v>
      </c>
      <c r="N116" s="22">
        <v>421.63017366291706</v>
      </c>
    </row>
    <row r="117" spans="2:14" x14ac:dyDescent="0.25">
      <c r="B117" s="37">
        <v>113</v>
      </c>
      <c r="D117" s="9">
        <v>9.4739461678727199</v>
      </c>
      <c r="E117" s="9">
        <v>9.8486226598549393</v>
      </c>
      <c r="F117" s="9">
        <v>853.4804757782789</v>
      </c>
      <c r="G117" s="9">
        <v>887.23399991422241</v>
      </c>
      <c r="H117" s="9">
        <v>1782.1074904831244</v>
      </c>
      <c r="I117" s="24"/>
      <c r="J117" s="9">
        <v>9.5172539985527074</v>
      </c>
      <c r="K117" s="9">
        <v>9.6358577014926681</v>
      </c>
      <c r="L117" s="22">
        <v>857.38195329131622</v>
      </c>
      <c r="M117" s="22">
        <v>868.06661869056995</v>
      </c>
      <c r="N117" s="22">
        <v>425.39908686710743</v>
      </c>
    </row>
    <row r="118" spans="2:14" x14ac:dyDescent="0.25">
      <c r="B118" s="37">
        <v>114</v>
      </c>
      <c r="D118" s="9">
        <v>9.5506403564505575</v>
      </c>
      <c r="E118" s="9">
        <v>9.928828060041754</v>
      </c>
      <c r="F118" s="9">
        <v>852.84235645634715</v>
      </c>
      <c r="G118" s="9">
        <v>886.61333727813974</v>
      </c>
      <c r="H118" s="9">
        <v>1798.8081819941517</v>
      </c>
      <c r="I118" s="24"/>
      <c r="J118" s="9">
        <v>9.6033256035122747</v>
      </c>
      <c r="K118" s="9">
        <v>9.7229968947059895</v>
      </c>
      <c r="L118" s="22">
        <v>857.54698447893327</v>
      </c>
      <c r="M118" s="22">
        <v>868.23325704000717</v>
      </c>
      <c r="N118" s="22">
        <v>429.22823433081504</v>
      </c>
    </row>
    <row r="119" spans="2:14" x14ac:dyDescent="0.25">
      <c r="B119" s="37">
        <v>115</v>
      </c>
      <c r="D119" s="9">
        <v>9.6264869530496195</v>
      </c>
      <c r="E119" s="9">
        <v>10.007965887287634</v>
      </c>
      <c r="F119" s="9">
        <v>852.14030569572287</v>
      </c>
      <c r="G119" s="9">
        <v>885.9089668099499</v>
      </c>
      <c r="H119" s="9">
        <v>1814.4625582737267</v>
      </c>
      <c r="I119" s="24"/>
      <c r="J119" s="9">
        <v>9.6867655160236481</v>
      </c>
      <c r="K119" s="9">
        <v>9.8074876018144401</v>
      </c>
      <c r="L119" s="22">
        <v>857.47618713721977</v>
      </c>
      <c r="M119" s="22">
        <v>868.16255232856304</v>
      </c>
      <c r="N119" s="22">
        <v>432.99714753500558</v>
      </c>
    </row>
    <row r="120" spans="2:14" x14ac:dyDescent="0.25">
      <c r="B120" s="37">
        <v>116</v>
      </c>
      <c r="D120" s="9">
        <v>9.7026099360071427</v>
      </c>
      <c r="E120" s="9">
        <v>10.087451908149053</v>
      </c>
      <c r="F120" s="9">
        <v>851.47461417238787</v>
      </c>
      <c r="G120" s="9">
        <v>885.24729718325648</v>
      </c>
      <c r="H120" s="9">
        <v>1830.4584778671972</v>
      </c>
      <c r="I120" s="24"/>
      <c r="J120" s="9">
        <v>9.7731252082532052</v>
      </c>
      <c r="K120" s="9">
        <v>9.8949038795571571</v>
      </c>
      <c r="L120" s="22">
        <v>857.66284235274134</v>
      </c>
      <c r="M120" s="22">
        <v>868.34980677229942</v>
      </c>
      <c r="N120" s="22">
        <v>436.78683117351147</v>
      </c>
    </row>
    <row r="121" spans="2:14" x14ac:dyDescent="0.25">
      <c r="B121" s="37">
        <v>117</v>
      </c>
      <c r="D121" s="9">
        <v>9.7786229419963355</v>
      </c>
      <c r="E121" s="9">
        <v>10.166799457098858</v>
      </c>
      <c r="F121" s="9">
        <v>850.81073320177904</v>
      </c>
      <c r="G121" s="9">
        <v>884.58489009330799</v>
      </c>
      <c r="H121" s="9">
        <v>1846.3188643995982</v>
      </c>
      <c r="I121" s="24"/>
      <c r="J121" s="9">
        <v>9.8570133504281117</v>
      </c>
      <c r="K121" s="9">
        <v>9.9798422372375164</v>
      </c>
      <c r="L121" s="22">
        <v>857.63126419775278</v>
      </c>
      <c r="M121" s="22">
        <v>868.31826336568804</v>
      </c>
      <c r="N121" s="22">
        <v>440.55366733427115</v>
      </c>
    </row>
    <row r="122" spans="2:14" x14ac:dyDescent="0.25">
      <c r="B122" s="37">
        <v>118</v>
      </c>
      <c r="D122" s="9">
        <v>9.8556982355890437</v>
      </c>
      <c r="E122" s="9">
        <v>10.247485124703179</v>
      </c>
      <c r="F122" s="9">
        <v>850.249747858251</v>
      </c>
      <c r="G122" s="9">
        <v>884.04914955670927</v>
      </c>
      <c r="H122" s="9">
        <v>1863.4912109631446</v>
      </c>
      <c r="I122" s="24"/>
      <c r="J122" s="9">
        <v>9.9374008340284998</v>
      </c>
      <c r="K122" s="9">
        <v>10.061286306351073</v>
      </c>
      <c r="L122" s="22">
        <v>857.29821992608095</v>
      </c>
      <c r="M122" s="22">
        <v>867.9858027931383</v>
      </c>
      <c r="N122" s="22">
        <v>444.34335097277813</v>
      </c>
    </row>
    <row r="123" spans="2:14" x14ac:dyDescent="0.25">
      <c r="B123" s="37">
        <v>119</v>
      </c>
      <c r="D123" s="9">
        <v>9.9318425331994717</v>
      </c>
      <c r="E123" s="9">
        <v>10.326998159206154</v>
      </c>
      <c r="F123" s="9">
        <v>849.6185488748182</v>
      </c>
      <c r="G123" s="9">
        <v>883.42210027278463</v>
      </c>
      <c r="H123" s="9">
        <v>1879.5142371688294</v>
      </c>
      <c r="I123" s="24"/>
      <c r="J123" s="9">
        <v>10.020843404843479</v>
      </c>
      <c r="K123" s="9">
        <v>10.145779671763119</v>
      </c>
      <c r="L123" s="22">
        <v>857.23212018970855</v>
      </c>
      <c r="M123" s="22">
        <v>867.91978156243727</v>
      </c>
      <c r="N123" s="22">
        <v>448.11226417696821</v>
      </c>
    </row>
    <row r="124" spans="2:14" x14ac:dyDescent="0.25">
      <c r="B124" s="37">
        <v>120</v>
      </c>
      <c r="D124" s="9">
        <v>10.008236880448568</v>
      </c>
      <c r="E124" s="9">
        <v>10.406826211818496</v>
      </c>
      <c r="F124" s="9">
        <v>849.01908209366093</v>
      </c>
      <c r="G124" s="9">
        <v>882.83222543693239</v>
      </c>
      <c r="H124" s="9">
        <v>1895.8462787537499</v>
      </c>
      <c r="I124" s="24"/>
      <c r="J124" s="9">
        <v>10.106904561593034</v>
      </c>
      <c r="K124" s="9">
        <v>10.232908416766437</v>
      </c>
      <c r="L124" s="22">
        <v>857.38926208422799</v>
      </c>
      <c r="M124" s="22">
        <v>868.0784252942409</v>
      </c>
      <c r="N124" s="22">
        <v>451.94141164067588</v>
      </c>
    </row>
    <row r="125" spans="2:14" x14ac:dyDescent="0.25">
      <c r="B125" s="37">
        <v>121</v>
      </c>
      <c r="D125" s="9">
        <v>10.084929573174067</v>
      </c>
      <c r="E125" s="9">
        <v>10.487030116152964</v>
      </c>
      <c r="F125" s="9">
        <v>848.45462394028129</v>
      </c>
      <c r="G125" s="9">
        <v>882.28372135776249</v>
      </c>
      <c r="H125" s="9">
        <v>1912.5469702647774</v>
      </c>
      <c r="I125" s="24"/>
      <c r="J125" s="9">
        <v>10.191186292340216</v>
      </c>
      <c r="K125" s="9">
        <v>10.318246733026774</v>
      </c>
      <c r="L125" s="22">
        <v>857.39410180644836</v>
      </c>
      <c r="M125" s="22">
        <v>868.08381635905789</v>
      </c>
      <c r="N125" s="22">
        <v>455.73109527918263</v>
      </c>
    </row>
    <row r="126" spans="2:14" x14ac:dyDescent="0.25">
      <c r="B126" s="37">
        <v>122</v>
      </c>
      <c r="D126" s="9">
        <v>10.160370780809936</v>
      </c>
      <c r="E126" s="9">
        <v>10.565657693044361</v>
      </c>
      <c r="F126" s="9">
        <v>847.79499360136356</v>
      </c>
      <c r="G126" s="9">
        <v>881.61267826829146</v>
      </c>
      <c r="H126" s="9">
        <v>1927.7025848796179</v>
      </c>
      <c r="I126" s="24"/>
      <c r="J126" s="9">
        <v>10.282288459328567</v>
      </c>
      <c r="K126" s="9">
        <v>10.410414171902447</v>
      </c>
      <c r="L126" s="22">
        <v>857.96796855566492</v>
      </c>
      <c r="M126" s="22">
        <v>868.65895021520271</v>
      </c>
      <c r="N126" s="22">
        <v>459.55193456916328</v>
      </c>
    </row>
    <row r="127" spans="2:14" x14ac:dyDescent="0.25">
      <c r="B127" s="37">
        <v>123</v>
      </c>
      <c r="D127" s="9">
        <v>10.23689623106814</v>
      </c>
      <c r="E127" s="9">
        <v>10.645651042597745</v>
      </c>
      <c r="F127" s="9">
        <v>847.23582408682068</v>
      </c>
      <c r="G127" s="9">
        <v>881.06558183553273</v>
      </c>
      <c r="H127" s="9">
        <v>1944.1972661378215</v>
      </c>
      <c r="I127" s="24"/>
      <c r="J127" s="9">
        <v>10.36012783906172</v>
      </c>
      <c r="K127" s="9">
        <v>10.489295080766906</v>
      </c>
      <c r="L127" s="22">
        <v>857.43483661906862</v>
      </c>
      <c r="M127" s="22">
        <v>868.12509976142508</v>
      </c>
      <c r="N127" s="22">
        <v>463.28761507844808</v>
      </c>
    </row>
    <row r="128" spans="2:14" x14ac:dyDescent="0.25">
      <c r="B128" s="37">
        <v>124</v>
      </c>
      <c r="D128" s="9">
        <v>10.312907799930413</v>
      </c>
      <c r="E128" s="9">
        <v>10.724997154420629</v>
      </c>
      <c r="F128" s="9">
        <v>846.64348607711474</v>
      </c>
      <c r="G128" s="9">
        <v>880.47417422340266</v>
      </c>
      <c r="H128" s="9">
        <v>1960.057652670223</v>
      </c>
      <c r="I128" s="24"/>
      <c r="J128" s="9">
        <v>10.444861126061019</v>
      </c>
      <c r="K128" s="9">
        <v>10.575079162363265</v>
      </c>
      <c r="L128" s="22">
        <v>857.47626245813126</v>
      </c>
      <c r="M128" s="22">
        <v>868.16657932548401</v>
      </c>
      <c r="N128" s="22">
        <v>467.05652828263823</v>
      </c>
    </row>
    <row r="129" spans="2:14" x14ac:dyDescent="0.25">
      <c r="B129" s="37">
        <v>125</v>
      </c>
      <c r="D129" s="9">
        <v>10.389981656726</v>
      </c>
      <c r="E129" s="9">
        <v>10.805681385227837</v>
      </c>
      <c r="F129" s="9">
        <v>846.1471368788574</v>
      </c>
      <c r="G129" s="9">
        <v>880.00120387284915</v>
      </c>
      <c r="H129" s="9">
        <v>1977.2299992337691</v>
      </c>
      <c r="I129" s="24"/>
      <c r="J129" s="9">
        <v>10.529589443874604</v>
      </c>
      <c r="K129" s="9">
        <v>10.660878542980271</v>
      </c>
      <c r="L129" s="22">
        <v>857.51662079948721</v>
      </c>
      <c r="M129" s="22">
        <v>868.20864114966253</v>
      </c>
      <c r="N129" s="22">
        <v>470.89813800693582</v>
      </c>
    </row>
    <row r="130" spans="2:14" x14ac:dyDescent="0.25">
      <c r="B130" s="37">
        <v>126</v>
      </c>
      <c r="D130" s="9">
        <v>10.466673348716155</v>
      </c>
      <c r="E130" s="9">
        <v>10.885884288826963</v>
      </c>
      <c r="F130" s="9">
        <v>845.62779022271616</v>
      </c>
      <c r="G130" s="9">
        <v>879.49685340185636</v>
      </c>
      <c r="H130" s="9">
        <v>1993.9306907447965</v>
      </c>
      <c r="I130" s="24"/>
      <c r="J130" s="9">
        <v>10.607933073684604</v>
      </c>
      <c r="K130" s="9">
        <v>10.74026949283768</v>
      </c>
      <c r="L130" s="22">
        <v>857.04050418566703</v>
      </c>
      <c r="M130" s="22">
        <v>867.73228274471887</v>
      </c>
      <c r="N130" s="22">
        <v>474.65458895053672</v>
      </c>
    </row>
    <row r="131" spans="2:14" x14ac:dyDescent="0.25">
      <c r="B131" s="37">
        <v>127</v>
      </c>
      <c r="D131" s="9">
        <v>10.542135531052608</v>
      </c>
      <c r="E131" s="9">
        <v>10.9645385394076</v>
      </c>
      <c r="F131" s="9">
        <v>845.01806936877006</v>
      </c>
      <c r="G131" s="9">
        <v>878.87631123677761</v>
      </c>
      <c r="H131" s="9">
        <v>2009.1134119718531</v>
      </c>
      <c r="I131" s="24"/>
      <c r="J131" s="9">
        <v>10.702900426140294</v>
      </c>
      <c r="K131" s="9">
        <v>10.836307908096789</v>
      </c>
      <c r="L131" s="22">
        <v>857.90438076830719</v>
      </c>
      <c r="M131" s="22">
        <v>868.59782447429711</v>
      </c>
      <c r="N131" s="22">
        <v>478.49619867483364</v>
      </c>
    </row>
    <row r="132" spans="2:14" x14ac:dyDescent="0.25">
      <c r="B132" s="37">
        <v>128</v>
      </c>
      <c r="D132" s="9">
        <v>10.618638051001788</v>
      </c>
      <c r="E132" s="9">
        <v>11.044503259663301</v>
      </c>
      <c r="F132" s="9">
        <v>844.50061348576878</v>
      </c>
      <c r="G132" s="9">
        <v>878.36968673692479</v>
      </c>
      <c r="H132" s="9">
        <v>2025.5809866178442</v>
      </c>
      <c r="I132" s="24"/>
      <c r="J132" s="9">
        <v>10.785382460874903</v>
      </c>
      <c r="K132" s="9">
        <v>10.919846528344559</v>
      </c>
      <c r="L132" s="22">
        <v>857.76180157381009</v>
      </c>
      <c r="M132" s="22">
        <v>868.45573302947389</v>
      </c>
      <c r="N132" s="22">
        <v>482.28588231334038</v>
      </c>
    </row>
    <row r="133" spans="2:14" x14ac:dyDescent="0.25">
      <c r="B133" s="37">
        <v>129</v>
      </c>
      <c r="D133" s="9">
        <v>10.694648656974239</v>
      </c>
      <c r="E133" s="9">
        <v>11.123848408596364</v>
      </c>
      <c r="F133" s="9">
        <v>843.95236151157815</v>
      </c>
      <c r="G133" s="9">
        <v>877.82202432705185</v>
      </c>
      <c r="H133" s="9">
        <v>2041.4413731502432</v>
      </c>
      <c r="I133" s="24"/>
      <c r="J133" s="9">
        <v>10.867588194888432</v>
      </c>
      <c r="K133" s="9">
        <v>11.00309958240549</v>
      </c>
      <c r="L133" s="22">
        <v>857.59962904721851</v>
      </c>
      <c r="M133" s="22">
        <v>868.29330952003613</v>
      </c>
      <c r="N133" s="22">
        <v>486.04233325694122</v>
      </c>
    </row>
    <row r="134" spans="2:14" x14ac:dyDescent="0.25">
      <c r="B134" s="37">
        <v>130</v>
      </c>
      <c r="D134" s="9">
        <v>10.771721549802868</v>
      </c>
      <c r="E134" s="9">
        <v>11.204531675436606</v>
      </c>
      <c r="F134" s="9">
        <v>843.49572814042494</v>
      </c>
      <c r="G134" s="9">
        <v>877.38757081200413</v>
      </c>
      <c r="H134" s="9">
        <v>2058.6137197137919</v>
      </c>
      <c r="I134" s="24"/>
      <c r="J134" s="9">
        <v>10.949725847108196</v>
      </c>
      <c r="K134" s="9">
        <v>11.086296715596475</v>
      </c>
      <c r="L134" s="22">
        <v>857.43462023612994</v>
      </c>
      <c r="M134" s="22">
        <v>868.12900586666069</v>
      </c>
      <c r="N134" s="22">
        <v>489.84240211260601</v>
      </c>
    </row>
    <row r="135" spans="2:14" x14ac:dyDescent="0.25">
      <c r="B135" s="37">
        <v>131</v>
      </c>
      <c r="D135" s="9">
        <v>10.84786349462926</v>
      </c>
      <c r="E135" s="9">
        <v>11.28404235715556</v>
      </c>
      <c r="F135" s="9">
        <v>842.97372348176032</v>
      </c>
      <c r="G135" s="9">
        <v>876.86863007141949</v>
      </c>
      <c r="H135" s="9">
        <v>2074.6367459194735</v>
      </c>
      <c r="I135" s="24"/>
      <c r="J135" s="9">
        <v>11.033178667234621</v>
      </c>
      <c r="K135" s="9">
        <v>11.170800330319958</v>
      </c>
      <c r="L135" s="22">
        <v>857.37433067470181</v>
      </c>
      <c r="M135" s="22">
        <v>868.06873569005211</v>
      </c>
      <c r="N135" s="22">
        <v>493.61131531679609</v>
      </c>
    </row>
    <row r="136" spans="2:14" x14ac:dyDescent="0.25">
      <c r="B136" s="37">
        <v>132</v>
      </c>
      <c r="D136" s="9">
        <v>10.924255507394692</v>
      </c>
      <c r="E136" s="9">
        <v>11.363868075284229</v>
      </c>
      <c r="F136" s="9">
        <v>842.47891323156898</v>
      </c>
      <c r="G136" s="9">
        <v>876.3818476867192</v>
      </c>
      <c r="H136" s="9">
        <v>2090.9687875043946</v>
      </c>
      <c r="I136" s="24"/>
      <c r="J136" s="9">
        <v>11.114936216530278</v>
      </c>
      <c r="K136" s="9">
        <v>11.253610990579128</v>
      </c>
      <c r="L136" s="22">
        <v>857.18421525403005</v>
      </c>
      <c r="M136" s="22">
        <v>867.87881799874117</v>
      </c>
      <c r="N136" s="22">
        <v>497.38853669471365</v>
      </c>
    </row>
    <row r="137" spans="2:14" x14ac:dyDescent="0.25">
      <c r="B137" s="37">
        <v>133</v>
      </c>
      <c r="D137" s="9">
        <v>11.000945882255694</v>
      </c>
      <c r="E137" s="9">
        <v>11.444069661754204</v>
      </c>
      <c r="F137" s="9">
        <v>842.01438042558561</v>
      </c>
      <c r="G137" s="9">
        <v>875.93115436846188</v>
      </c>
      <c r="H137" s="9">
        <v>2107.669479015422</v>
      </c>
      <c r="I137" s="24"/>
      <c r="J137" s="9">
        <v>11.200115676074097</v>
      </c>
      <c r="K137" s="9">
        <v>11.339855722010263</v>
      </c>
      <c r="L137" s="22">
        <v>857.25887233895799</v>
      </c>
      <c r="M137" s="22">
        <v>867.95460063895553</v>
      </c>
      <c r="N137" s="22">
        <v>501.20937598469442</v>
      </c>
    </row>
    <row r="138" spans="2:14" x14ac:dyDescent="0.25">
      <c r="B138" s="37">
        <v>134</v>
      </c>
      <c r="D138" s="9">
        <v>11.076406778199907</v>
      </c>
      <c r="E138" s="9">
        <v>11.522722625942604</v>
      </c>
      <c r="F138" s="9">
        <v>841.46337867986711</v>
      </c>
      <c r="G138" s="9">
        <v>875.36954055350805</v>
      </c>
      <c r="H138" s="9">
        <v>2122.8522002424806</v>
      </c>
      <c r="I138" s="24"/>
      <c r="J138" s="9">
        <v>11.290730703175329</v>
      </c>
      <c r="K138" s="9">
        <v>11.431527334624656</v>
      </c>
      <c r="L138" s="22">
        <v>857.74534968843443</v>
      </c>
      <c r="M138" s="22">
        <v>868.44152684935921</v>
      </c>
      <c r="N138" s="22">
        <v>504.99905962320128</v>
      </c>
    </row>
    <row r="139" spans="2:14" x14ac:dyDescent="0.25">
      <c r="B139" s="37">
        <v>135</v>
      </c>
      <c r="D139" s="9">
        <v>11.152908009555302</v>
      </c>
      <c r="E139" s="9">
        <v>11.602686057604531</v>
      </c>
      <c r="F139" s="9">
        <v>840.99898771676374</v>
      </c>
      <c r="G139" s="9">
        <v>874.91506438327485</v>
      </c>
      <c r="H139" s="9">
        <v>2139.3197748884695</v>
      </c>
      <c r="I139" s="24"/>
      <c r="J139" s="9">
        <v>11.374961237447067</v>
      </c>
      <c r="K139" s="9">
        <v>11.516825457150162</v>
      </c>
      <c r="L139" s="22">
        <v>857.7431892932691</v>
      </c>
      <c r="M139" s="22">
        <v>868.44063834075632</v>
      </c>
      <c r="N139" s="22">
        <v>508.82820708690832</v>
      </c>
    </row>
    <row r="140" spans="2:14" x14ac:dyDescent="0.25">
      <c r="B140" s="37">
        <v>136</v>
      </c>
      <c r="D140" s="9">
        <v>11.22891734655477</v>
      </c>
      <c r="E140" s="9">
        <v>11.682029937564606</v>
      </c>
      <c r="F140" s="9">
        <v>840.50460685758264</v>
      </c>
      <c r="G140" s="9">
        <v>874.42089712984045</v>
      </c>
      <c r="H140" s="9">
        <v>2155.1801614208707</v>
      </c>
      <c r="I140" s="24"/>
      <c r="J140" s="9">
        <v>11.457120102182415</v>
      </c>
      <c r="K140" s="9">
        <v>11.600023534650363</v>
      </c>
      <c r="L140" s="22">
        <v>857.58599248746975</v>
      </c>
      <c r="M140" s="22">
        <v>868.28257076105763</v>
      </c>
      <c r="N140" s="22">
        <v>512.55557942246685</v>
      </c>
    </row>
    <row r="141" spans="2:14" x14ac:dyDescent="0.25">
      <c r="B141" s="37">
        <v>137</v>
      </c>
      <c r="D141" s="9">
        <v>11.306274338228015</v>
      </c>
      <c r="E141" s="9">
        <v>11.763071390102002</v>
      </c>
      <c r="F141" s="9">
        <v>840.11758129783254</v>
      </c>
      <c r="G141" s="9">
        <v>874.06008285794428</v>
      </c>
      <c r="H141" s="9">
        <v>2172.7048939431952</v>
      </c>
      <c r="I141" s="24"/>
      <c r="J141" s="9">
        <v>11.532549059905378</v>
      </c>
      <c r="K141" s="9">
        <v>11.676509077886488</v>
      </c>
      <c r="L141" s="22">
        <v>856.9310218882207</v>
      </c>
      <c r="M141" s="22">
        <v>867.62803298947767</v>
      </c>
      <c r="N141" s="22">
        <v>516.34526306097382</v>
      </c>
    </row>
    <row r="142" spans="2:14" x14ac:dyDescent="0.25">
      <c r="B142" s="37">
        <v>138</v>
      </c>
      <c r="D142" s="9">
        <v>11.382415035979077</v>
      </c>
      <c r="E142" s="9">
        <v>11.842580824745616</v>
      </c>
      <c r="F142" s="9">
        <v>839.64644246830551</v>
      </c>
      <c r="G142" s="9">
        <v>873.59148543696676</v>
      </c>
      <c r="H142" s="9">
        <v>2188.7279201488773</v>
      </c>
      <c r="I142" s="24"/>
      <c r="J142" s="9">
        <v>11.617745237419328</v>
      </c>
      <c r="K142" s="9">
        <v>11.762767052738107</v>
      </c>
      <c r="L142" s="22">
        <v>857.00604197509494</v>
      </c>
      <c r="M142" s="22">
        <v>867.70386409173818</v>
      </c>
      <c r="N142" s="22">
        <v>520.153640090365</v>
      </c>
    </row>
    <row r="143" spans="2:14" x14ac:dyDescent="0.25">
      <c r="B143" s="37">
        <v>139</v>
      </c>
      <c r="D143" s="9">
        <v>11.458423853600522</v>
      </c>
      <c r="E143" s="9">
        <v>11.92192418532767</v>
      </c>
      <c r="F143" s="9">
        <v>839.17242420364812</v>
      </c>
      <c r="G143" s="9">
        <v>873.11746777719736</v>
      </c>
      <c r="H143" s="9">
        <v>2204.5883066812789</v>
      </c>
      <c r="I143" s="24"/>
      <c r="J143" s="9">
        <v>11.705809463448894</v>
      </c>
      <c r="K143" s="9">
        <v>11.85188786428084</v>
      </c>
      <c r="L143" s="22">
        <v>857.29002786205376</v>
      </c>
      <c r="M143" s="22">
        <v>867.98826763011914</v>
      </c>
      <c r="N143" s="22">
        <v>523.94332372887129</v>
      </c>
    </row>
    <row r="144" spans="2:14" x14ac:dyDescent="0.25">
      <c r="B144" s="37">
        <v>140</v>
      </c>
      <c r="D144" s="9">
        <v>11.535780322262422</v>
      </c>
      <c r="E144" s="9">
        <v>12.002965114853719</v>
      </c>
      <c r="F144" s="9">
        <v>838.803169609321</v>
      </c>
      <c r="G144" s="9">
        <v>872.77365741954645</v>
      </c>
      <c r="H144" s="9">
        <v>2222.1130392036066</v>
      </c>
      <c r="I144" s="24"/>
      <c r="J144" s="9">
        <v>11.782173936635212</v>
      </c>
      <c r="K144" s="9">
        <v>11.929317609354481</v>
      </c>
      <c r="L144" s="22">
        <v>856.71923067616888</v>
      </c>
      <c r="M144" s="22">
        <v>867.41851374301837</v>
      </c>
      <c r="N144" s="22">
        <v>527.7641630188524</v>
      </c>
    </row>
    <row r="145" spans="2:14" x14ac:dyDescent="0.25">
      <c r="B145" s="37">
        <v>141</v>
      </c>
      <c r="D145" s="9">
        <v>11.611218063878773</v>
      </c>
      <c r="E145" s="9">
        <v>12.081589225725601</v>
      </c>
      <c r="F145" s="9">
        <v>838.30062542098869</v>
      </c>
      <c r="G145" s="9">
        <v>872.26023560029068</v>
      </c>
      <c r="H145" s="9">
        <v>2237.2686538184489</v>
      </c>
      <c r="I145" s="24"/>
      <c r="J145" s="9">
        <v>11.86974375817787</v>
      </c>
      <c r="K145" s="9">
        <v>12.017940541860645</v>
      </c>
      <c r="L145" s="22">
        <v>856.96552776164219</v>
      </c>
      <c r="M145" s="22">
        <v>867.66496134071906</v>
      </c>
      <c r="N145" s="22">
        <v>531.5413843967691</v>
      </c>
    </row>
    <row r="146" spans="2:14" x14ac:dyDescent="0.25">
      <c r="B146" s="37">
        <v>142</v>
      </c>
      <c r="D146" s="9">
        <v>11.687740039876838</v>
      </c>
      <c r="E146" s="9">
        <v>12.161579101018843</v>
      </c>
      <c r="F146" s="9">
        <v>837.88288704398485</v>
      </c>
      <c r="G146" s="9">
        <v>871.8519554172799</v>
      </c>
      <c r="H146" s="9">
        <v>2253.7633350766505</v>
      </c>
      <c r="I146" s="24"/>
      <c r="J146" s="9">
        <v>11.952772814375917</v>
      </c>
      <c r="K146" s="9">
        <v>12.102026183571843</v>
      </c>
      <c r="L146" s="22">
        <v>856.88283275640731</v>
      </c>
      <c r="M146" s="22">
        <v>867.58266381495662</v>
      </c>
      <c r="N146" s="22">
        <v>535.33106803527517</v>
      </c>
    </row>
    <row r="147" spans="2:14" x14ac:dyDescent="0.25">
      <c r="B147" s="37">
        <v>143</v>
      </c>
      <c r="D147" s="9">
        <v>11.764714046733211</v>
      </c>
      <c r="E147" s="9">
        <v>12.242138406336734</v>
      </c>
      <c r="F147" s="9">
        <v>837.50317020796695</v>
      </c>
      <c r="G147" s="9">
        <v>871.48992187181102</v>
      </c>
      <c r="H147" s="9">
        <v>2270.8164125464582</v>
      </c>
      <c r="I147" s="24"/>
      <c r="J147" s="9">
        <v>12.030375761312493</v>
      </c>
      <c r="K147" s="9">
        <v>12.180682820563543</v>
      </c>
      <c r="L147" s="22">
        <v>856.41502197752311</v>
      </c>
      <c r="M147" s="22">
        <v>867.11503883533578</v>
      </c>
      <c r="N147" s="22">
        <v>539.11036645662409</v>
      </c>
    </row>
    <row r="148" spans="2:14" x14ac:dyDescent="0.25">
      <c r="B148" s="37">
        <v>144</v>
      </c>
      <c r="D148" s="9">
        <v>11.841103982522545</v>
      </c>
      <c r="E148" s="9">
        <v>12.321962047489315</v>
      </c>
      <c r="F148" s="9">
        <v>837.08743727016122</v>
      </c>
      <c r="G148" s="9">
        <v>871.08090999769081</v>
      </c>
      <c r="H148" s="9">
        <v>2287.1484541313785</v>
      </c>
      <c r="I148" s="24"/>
      <c r="J148" s="9">
        <v>12.114671194162703</v>
      </c>
      <c r="K148" s="9">
        <v>12.26603483892692</v>
      </c>
      <c r="L148" s="22">
        <v>856.42682289256663</v>
      </c>
      <c r="M148" s="22">
        <v>867.12722765875776</v>
      </c>
      <c r="N148" s="22">
        <v>542.90005009513163</v>
      </c>
    </row>
    <row r="149" spans="2:14" x14ac:dyDescent="0.25">
      <c r="B149" s="37">
        <v>145</v>
      </c>
      <c r="D149" s="9">
        <v>11.917792292061469</v>
      </c>
      <c r="E149" s="9">
        <v>12.402161568637204</v>
      </c>
      <c r="F149" s="9">
        <v>836.69838615367257</v>
      </c>
      <c r="G149" s="9">
        <v>870.70392863013399</v>
      </c>
      <c r="H149" s="9">
        <v>2303.8491456424053</v>
      </c>
      <c r="I149" s="24"/>
      <c r="J149" s="9">
        <v>12.197360164394542</v>
      </c>
      <c r="K149" s="9">
        <v>12.34978560649642</v>
      </c>
      <c r="L149" s="22">
        <v>856.32567801017785</v>
      </c>
      <c r="M149" s="22">
        <v>867.02683123470183</v>
      </c>
      <c r="N149" s="22">
        <v>546.70842712452315</v>
      </c>
    </row>
    <row r="150" spans="2:14" x14ac:dyDescent="0.25">
      <c r="B150" s="37">
        <v>146</v>
      </c>
      <c r="D150" s="9">
        <v>11.993251171944266</v>
      </c>
      <c r="E150" s="9">
        <v>12.4808125167642</v>
      </c>
      <c r="F150" s="9">
        <v>836.22894257254177</v>
      </c>
      <c r="G150" s="9">
        <v>870.22413720098245</v>
      </c>
      <c r="H150" s="9">
        <v>2319.0318668694626</v>
      </c>
      <c r="I150" s="24"/>
      <c r="J150" s="9">
        <v>12.287902671142712</v>
      </c>
      <c r="K150" s="9">
        <v>12.441384698757751</v>
      </c>
      <c r="L150" s="22">
        <v>856.77350618332673</v>
      </c>
      <c r="M150" s="22">
        <v>867.47503421908175</v>
      </c>
      <c r="N150" s="22">
        <v>550.49811076302922</v>
      </c>
    </row>
    <row r="151" spans="2:14" x14ac:dyDescent="0.25">
      <c r="B151" s="37">
        <v>147</v>
      </c>
      <c r="D151" s="9">
        <v>12.070035744703187</v>
      </c>
      <c r="E151" s="9">
        <v>12.561133376682186</v>
      </c>
      <c r="F151" s="9">
        <v>835.85769105802683</v>
      </c>
      <c r="G151" s="9">
        <v>869.86651600539028</v>
      </c>
      <c r="H151" s="9">
        <v>2335.85182747423</v>
      </c>
      <c r="I151" s="24"/>
      <c r="J151" s="9">
        <v>12.366341339955351</v>
      </c>
      <c r="K151" s="9">
        <v>12.520888639457702</v>
      </c>
      <c r="L151" s="22">
        <v>856.37704294178036</v>
      </c>
      <c r="M151" s="22">
        <v>867.07954222625665</v>
      </c>
      <c r="N151" s="22">
        <v>554.31895005301021</v>
      </c>
    </row>
    <row r="152" spans="2:14" x14ac:dyDescent="0.25">
      <c r="B152" s="37">
        <v>148</v>
      </c>
      <c r="D152" s="9">
        <v>12.146723572051711</v>
      </c>
      <c r="E152" s="9">
        <v>12.641332415639695</v>
      </c>
      <c r="F152" s="9">
        <v>835.48480204247448</v>
      </c>
      <c r="G152" s="9">
        <v>869.50534835048302</v>
      </c>
      <c r="H152" s="9">
        <v>2352.5525189852578</v>
      </c>
      <c r="I152" s="24"/>
      <c r="J152" s="9">
        <v>12.448148617080975</v>
      </c>
      <c r="K152" s="9">
        <v>12.603749027546833</v>
      </c>
      <c r="L152" s="22">
        <v>856.21763938606614</v>
      </c>
      <c r="M152" s="22">
        <v>866.92026033274794</v>
      </c>
      <c r="N152" s="22">
        <v>558.09617143092726</v>
      </c>
    </row>
    <row r="153" spans="2:14" x14ac:dyDescent="0.25">
      <c r="B153" s="37">
        <v>149</v>
      </c>
      <c r="D153" s="9">
        <v>12.223112706235488</v>
      </c>
      <c r="E153" s="9">
        <v>12.721155255186714</v>
      </c>
      <c r="F153" s="9">
        <v>835.0965112028905</v>
      </c>
      <c r="G153" s="9">
        <v>869.12332622584199</v>
      </c>
      <c r="H153" s="9">
        <v>2368.8845605701777</v>
      </c>
      <c r="I153" s="24"/>
      <c r="J153" s="9">
        <v>12.532446244804136</v>
      </c>
      <c r="K153" s="9">
        <v>12.68910324078316</v>
      </c>
      <c r="L153" s="22">
        <v>856.23051896876359</v>
      </c>
      <c r="M153" s="22">
        <v>866.93349732965771</v>
      </c>
      <c r="N153" s="22">
        <v>561.88585506943298</v>
      </c>
    </row>
    <row r="154" spans="2:14" x14ac:dyDescent="0.25">
      <c r="B154" s="37">
        <v>150</v>
      </c>
      <c r="D154" s="9">
        <v>12.299536805784408</v>
      </c>
      <c r="E154" s="9">
        <v>12.801022178480718</v>
      </c>
      <c r="F154" s="9">
        <v>834.71577052091072</v>
      </c>
      <c r="G154" s="9">
        <v>868.7493895006354</v>
      </c>
      <c r="H154" s="9">
        <v>2385.2599727346424</v>
      </c>
      <c r="I154" s="24"/>
      <c r="J154" s="9">
        <v>12.612594691029619</v>
      </c>
      <c r="K154" s="9">
        <v>12.770305377063764</v>
      </c>
      <c r="L154" s="22">
        <v>855.9616400220458</v>
      </c>
      <c r="M154" s="22">
        <v>866.66477452955519</v>
      </c>
      <c r="N154" s="22">
        <v>565.66515349078179</v>
      </c>
    </row>
    <row r="155" spans="2:14" x14ac:dyDescent="0.25">
      <c r="B155" s="37">
        <v>151</v>
      </c>
      <c r="D155" s="9">
        <v>12.375925628689217</v>
      </c>
      <c r="E155" s="9">
        <v>12.880844706748773</v>
      </c>
      <c r="F155" s="9">
        <v>834.33769454509718</v>
      </c>
      <c r="G155" s="9">
        <v>868.37741263644318</v>
      </c>
      <c r="H155" s="9">
        <v>2401.5920143195622</v>
      </c>
      <c r="I155" s="24"/>
      <c r="J155" s="9">
        <v>12.694408241467967</v>
      </c>
      <c r="K155" s="9">
        <v>12.853172038465608</v>
      </c>
      <c r="L155" s="22">
        <v>855.80857735991776</v>
      </c>
      <c r="M155" s="22">
        <v>866.51182690572705</v>
      </c>
      <c r="N155" s="22">
        <v>569.44237486869997</v>
      </c>
    </row>
    <row r="156" spans="2:14" x14ac:dyDescent="0.25">
      <c r="B156" s="37">
        <v>152</v>
      </c>
      <c r="D156" s="9">
        <v>12.452612830406419</v>
      </c>
      <c r="E156" s="9">
        <v>12.961043120074965</v>
      </c>
      <c r="F156" s="9">
        <v>833.98457647524162</v>
      </c>
      <c r="G156" s="9">
        <v>868.03550422600563</v>
      </c>
      <c r="H156" s="9">
        <v>2418.2927058305895</v>
      </c>
      <c r="I156" s="24"/>
      <c r="J156" s="9">
        <v>12.779600291375694</v>
      </c>
      <c r="K156" s="9">
        <v>12.939429360260656</v>
      </c>
      <c r="L156" s="22">
        <v>855.88379576866555</v>
      </c>
      <c r="M156" s="22">
        <v>866.58797328850153</v>
      </c>
      <c r="N156" s="22">
        <v>573.26321415868108</v>
      </c>
    </row>
    <row r="157" spans="2:14" x14ac:dyDescent="0.25">
      <c r="B157" s="37">
        <v>153</v>
      </c>
      <c r="D157" s="9">
        <v>12.52890476274294</v>
      </c>
      <c r="E157" s="9">
        <v>13.040743682224626</v>
      </c>
      <c r="F157" s="9">
        <v>833.6097751081212</v>
      </c>
      <c r="G157" s="9">
        <v>867.66494071441639</v>
      </c>
      <c r="H157" s="9">
        <v>2434.5054783217679</v>
      </c>
      <c r="I157" s="24"/>
      <c r="J157" s="9">
        <v>12.862663797896587</v>
      </c>
      <c r="K157" s="9">
        <v>13.023549452294722</v>
      </c>
      <c r="L157" s="22">
        <v>855.81640844945605</v>
      </c>
      <c r="M157" s="22">
        <v>866.52092386566142</v>
      </c>
      <c r="N157" s="22">
        <v>577.05289779718737</v>
      </c>
    </row>
    <row r="158" spans="2:14" x14ac:dyDescent="0.25">
      <c r="B158" s="37">
        <v>154</v>
      </c>
      <c r="D158" s="9">
        <v>12.604854111354767</v>
      </c>
      <c r="E158" s="9">
        <v>13.120012756426547</v>
      </c>
      <c r="F158" s="9">
        <v>833.21719551938008</v>
      </c>
      <c r="G158" s="9">
        <v>867.27066711867474</v>
      </c>
      <c r="H158" s="9">
        <v>2450.2953876624142</v>
      </c>
      <c r="I158" s="24"/>
      <c r="J158" s="9">
        <v>12.9452285034016</v>
      </c>
      <c r="K158" s="9">
        <v>13.107167268763233</v>
      </c>
      <c r="L158" s="22">
        <v>855.71692410508399</v>
      </c>
      <c r="M158" s="22">
        <v>866.42154335164412</v>
      </c>
      <c r="N158" s="22">
        <v>580.83011917510385</v>
      </c>
    </row>
    <row r="159" spans="2:14" x14ac:dyDescent="0.25">
      <c r="B159" s="37">
        <v>155</v>
      </c>
      <c r="D159" s="9">
        <v>12.681540858112278</v>
      </c>
      <c r="E159" s="9">
        <v>13.200210714793039</v>
      </c>
      <c r="F159" s="9">
        <v>832.87811113866371</v>
      </c>
      <c r="G159" s="9">
        <v>866.94248670391653</v>
      </c>
      <c r="H159" s="9">
        <v>2466.996079173442</v>
      </c>
      <c r="I159" s="24"/>
      <c r="J159" s="9">
        <v>13.030418812160397</v>
      </c>
      <c r="K159" s="9">
        <v>13.193422849409352</v>
      </c>
      <c r="L159" s="22">
        <v>855.7911636325681</v>
      </c>
      <c r="M159" s="22">
        <v>866.49668405558816</v>
      </c>
      <c r="N159" s="22">
        <v>584.65095846508484</v>
      </c>
    </row>
    <row r="160" spans="2:14" x14ac:dyDescent="0.25">
      <c r="B160" s="37">
        <v>156</v>
      </c>
      <c r="D160" s="9">
        <v>12.758214284387808</v>
      </c>
      <c r="E160" s="9">
        <v>13.280391933284344</v>
      </c>
      <c r="F160" s="9">
        <v>832.54250476008383</v>
      </c>
      <c r="G160" s="9">
        <v>866.61742136295334</v>
      </c>
      <c r="H160" s="9">
        <v>2483.6805067171426</v>
      </c>
      <c r="I160" s="24"/>
      <c r="J160" s="9">
        <v>13.109780872215094</v>
      </c>
      <c r="K160" s="9">
        <v>13.273841494977217</v>
      </c>
      <c r="L160" s="22">
        <v>855.48412661212103</v>
      </c>
      <c r="M160" s="22">
        <v>866.18996982514955</v>
      </c>
      <c r="N160" s="22">
        <v>588.4406421035909</v>
      </c>
    </row>
    <row r="161" spans="2:14" x14ac:dyDescent="0.25">
      <c r="B161" s="37">
        <v>157</v>
      </c>
      <c r="D161" s="9">
        <v>12.83490073226621</v>
      </c>
      <c r="E161" s="9">
        <v>13.360589592771726</v>
      </c>
      <c r="F161" s="9">
        <v>832.21201793973751</v>
      </c>
      <c r="G161" s="9">
        <v>866.29756301216059</v>
      </c>
      <c r="H161" s="9">
        <v>2500.3811982281704</v>
      </c>
      <c r="I161" s="24"/>
      <c r="J161" s="9">
        <v>13.189948517378529</v>
      </c>
      <c r="K161" s="9">
        <v>13.355059355646105</v>
      </c>
      <c r="L161" s="22">
        <v>855.23323484487094</v>
      </c>
      <c r="M161" s="22">
        <v>865.93898370609486</v>
      </c>
      <c r="N161" s="22">
        <v>592.20747826435024</v>
      </c>
    </row>
    <row r="162" spans="2:14" x14ac:dyDescent="0.25">
      <c r="B162" s="37">
        <v>158</v>
      </c>
      <c r="D162" s="9">
        <v>12.910739737534282</v>
      </c>
      <c r="E162" s="9">
        <v>13.439719828686622</v>
      </c>
      <c r="F162" s="9">
        <v>831.83111428454606</v>
      </c>
      <c r="G162" s="9">
        <v>865.91298004924363</v>
      </c>
      <c r="H162" s="9">
        <v>2516.0355745077441</v>
      </c>
      <c r="I162" s="24"/>
      <c r="J162" s="9">
        <v>13.27673181136679</v>
      </c>
      <c r="K162" s="9">
        <v>13.442899235147541</v>
      </c>
      <c r="L162" s="22">
        <v>855.41176115564087</v>
      </c>
      <c r="M162" s="22">
        <v>866.11782727511263</v>
      </c>
      <c r="N162" s="22">
        <v>595.99716190285801</v>
      </c>
    </row>
    <row r="163" spans="2:14" x14ac:dyDescent="0.25">
      <c r="B163" s="37">
        <v>159</v>
      </c>
      <c r="D163" s="9">
        <v>13.026392257945671</v>
      </c>
      <c r="E163" s="9">
        <v>13.557160516417197</v>
      </c>
      <c r="F163" s="9">
        <v>803.67661011762482</v>
      </c>
      <c r="G163" s="9">
        <v>836.42290136079214</v>
      </c>
      <c r="H163" s="9">
        <v>2551.3644645966911</v>
      </c>
      <c r="I163" s="24"/>
      <c r="J163" s="9">
        <v>13.23455735746654</v>
      </c>
      <c r="K163" s="9">
        <v>13.386080199699149</v>
      </c>
      <c r="L163" s="22">
        <v>816.51956910542003</v>
      </c>
      <c r="M163" s="22">
        <v>825.86792602493563</v>
      </c>
      <c r="N163" s="22">
        <v>543.44276781638223</v>
      </c>
    </row>
    <row r="164" spans="2:14" x14ac:dyDescent="0.25">
      <c r="B164" s="37">
        <v>160</v>
      </c>
      <c r="D164" s="9">
        <v>13.101571807078937</v>
      </c>
      <c r="E164" s="9">
        <v>13.6354014016429</v>
      </c>
      <c r="F164" s="9">
        <v>803.44552258596741</v>
      </c>
      <c r="G164" s="9">
        <v>836.1822814948913</v>
      </c>
      <c r="H164" s="9">
        <v>2566.0800848241515</v>
      </c>
      <c r="I164" s="24"/>
      <c r="J164" s="9">
        <v>13.325131956217323</v>
      </c>
      <c r="K164" s="9">
        <v>13.477574720883078</v>
      </c>
      <c r="L164" s="22">
        <v>817.15520593532221</v>
      </c>
      <c r="M164" s="22">
        <v>826.5036611073308</v>
      </c>
      <c r="N164" s="22">
        <v>546.7420848667316</v>
      </c>
    </row>
    <row r="165" spans="2:14" x14ac:dyDescent="0.25">
      <c r="B165" s="37">
        <v>161</v>
      </c>
      <c r="D165" s="9">
        <v>13.17739484013233</v>
      </c>
      <c r="E165" s="9">
        <v>13.714449738332656</v>
      </c>
      <c r="F165" s="9">
        <v>803.25642751519069</v>
      </c>
      <c r="G165" s="9">
        <v>835.99376324365369</v>
      </c>
      <c r="H165" s="9">
        <v>2581.5838851249096</v>
      </c>
      <c r="I165" s="24"/>
      <c r="J165" s="9">
        <v>13.405118650982843</v>
      </c>
      <c r="K165" s="9">
        <v>13.558479121129515</v>
      </c>
      <c r="L165" s="22">
        <v>817.13782190179847</v>
      </c>
      <c r="M165" s="22">
        <v>826.48623901053475</v>
      </c>
      <c r="N165" s="22">
        <v>550.03348083114952</v>
      </c>
    </row>
    <row r="166" spans="2:14" x14ac:dyDescent="0.25">
      <c r="B166" s="37">
        <v>162</v>
      </c>
      <c r="D166" s="9">
        <v>13.2537626414267</v>
      </c>
      <c r="E166" s="9">
        <v>13.794181669117224</v>
      </c>
      <c r="F166" s="9">
        <v>803.102593431522</v>
      </c>
      <c r="G166" s="9">
        <v>835.8489111693566</v>
      </c>
      <c r="H166" s="9">
        <v>2597.7550112210729</v>
      </c>
      <c r="I166" s="24"/>
      <c r="J166" s="9">
        <v>13.481526058964572</v>
      </c>
      <c r="K166" s="9">
        <v>13.635805958888348</v>
      </c>
      <c r="L166" s="22">
        <v>816.90376041045636</v>
      </c>
      <c r="M166" s="22">
        <v>826.25224439159115</v>
      </c>
      <c r="N166" s="22">
        <v>553.33103764018108</v>
      </c>
    </row>
    <row r="167" spans="2:14" x14ac:dyDescent="0.25">
      <c r="B167" s="37">
        <v>163</v>
      </c>
      <c r="D167" s="9">
        <v>13.330143084222104</v>
      </c>
      <c r="E167" s="9">
        <v>13.873929520753693</v>
      </c>
      <c r="F167" s="9">
        <v>802.95134134001557</v>
      </c>
      <c r="G167" s="9">
        <v>835.70673232545494</v>
      </c>
      <c r="H167" s="9">
        <v>2613.9419009186959</v>
      </c>
      <c r="I167" s="24"/>
      <c r="J167" s="9">
        <v>13.563591378364267</v>
      </c>
      <c r="K167" s="9">
        <v>13.718791151455603</v>
      </c>
      <c r="L167" s="22">
        <v>817.01327748958738</v>
      </c>
      <c r="M167" s="22">
        <v>826.36185425969393</v>
      </c>
      <c r="N167" s="22">
        <v>556.63017866639757</v>
      </c>
    </row>
    <row r="168" spans="2:14" x14ac:dyDescent="0.25">
      <c r="B168" s="37">
        <v>164</v>
      </c>
      <c r="D168" s="9">
        <v>13.406360230380349</v>
      </c>
      <c r="E168" s="9">
        <v>13.953472537308555</v>
      </c>
      <c r="F168" s="9">
        <v>802.79209024789748</v>
      </c>
      <c r="G168" s="9">
        <v>835.55396035518629</v>
      </c>
      <c r="H168" s="9">
        <v>2629.9291183310838</v>
      </c>
      <c r="I168" s="24"/>
      <c r="J168" s="9">
        <v>13.643640380360273</v>
      </c>
      <c r="K168" s="9">
        <v>13.799759583228711</v>
      </c>
      <c r="L168" s="22">
        <v>817.00076615271553</v>
      </c>
      <c r="M168" s="22">
        <v>826.34940806930183</v>
      </c>
      <c r="N168" s="22">
        <v>559.92773547542913</v>
      </c>
    </row>
    <row r="169" spans="2:14" x14ac:dyDescent="0.25">
      <c r="B169" s="37">
        <v>165</v>
      </c>
      <c r="D169" s="9">
        <v>13.482354009318989</v>
      </c>
      <c r="E169" s="9">
        <v>14.032735344561923</v>
      </c>
      <c r="F169" s="9">
        <v>802.62140441157328</v>
      </c>
      <c r="G169" s="9">
        <v>835.38629398124817</v>
      </c>
      <c r="H169" s="9">
        <v>2645.643099984728</v>
      </c>
      <c r="I169" s="24"/>
      <c r="J169" s="9">
        <v>13.722887546968817</v>
      </c>
      <c r="K169" s="9">
        <v>13.879925440630281</v>
      </c>
      <c r="L169" s="22">
        <v>816.94066688333066</v>
      </c>
      <c r="M169" s="22">
        <v>826.28932919180284</v>
      </c>
      <c r="N169" s="22">
        <v>563.22265192248267</v>
      </c>
    </row>
    <row r="170" spans="2:14" x14ac:dyDescent="0.25">
      <c r="B170" s="37">
        <v>166</v>
      </c>
      <c r="D170" s="9">
        <v>13.559107092142925</v>
      </c>
      <c r="E170" s="9">
        <v>14.112950937402395</v>
      </c>
      <c r="F170" s="9">
        <v>802.49764280054148</v>
      </c>
      <c r="G170" s="9">
        <v>835.27696796405939</v>
      </c>
      <c r="H170" s="9">
        <v>2662.2871341248756</v>
      </c>
      <c r="I170" s="24"/>
      <c r="J170" s="9">
        <v>13.801326659293913</v>
      </c>
      <c r="K170" s="9">
        <v>13.959284426122926</v>
      </c>
      <c r="L170" s="22">
        <v>816.83344163728589</v>
      </c>
      <c r="M170" s="22">
        <v>826.18219407953006</v>
      </c>
      <c r="N170" s="22">
        <v>566.52179294870075</v>
      </c>
    </row>
    <row r="171" spans="2:14" x14ac:dyDescent="0.25">
      <c r="B171" s="37">
        <v>167</v>
      </c>
      <c r="D171" s="9">
        <v>13.634263661625152</v>
      </c>
      <c r="E171" s="9">
        <v>14.19116337739227</v>
      </c>
      <c r="F171" s="9">
        <v>802.28136827915364</v>
      </c>
      <c r="G171" s="9">
        <v>835.05103425073412</v>
      </c>
      <c r="H171" s="9">
        <v>2676.9764816832212</v>
      </c>
      <c r="I171" s="24"/>
      <c r="J171" s="9">
        <v>13.888121293748739</v>
      </c>
      <c r="K171" s="9">
        <v>14.046998490354863</v>
      </c>
      <c r="L171" s="22">
        <v>817.2191202181491</v>
      </c>
      <c r="M171" s="22">
        <v>826.56793566171984</v>
      </c>
      <c r="N171" s="22">
        <v>569.81934975773095</v>
      </c>
    </row>
    <row r="172" spans="2:14" x14ac:dyDescent="0.25">
      <c r="B172" s="37">
        <v>168</v>
      </c>
      <c r="D172" s="9">
        <v>13.710758827413382</v>
      </c>
      <c r="E172" s="9">
        <v>14.271055466179481</v>
      </c>
      <c r="F172" s="9">
        <v>802.14589404843241</v>
      </c>
      <c r="G172" s="9">
        <v>834.92596507825397</v>
      </c>
      <c r="H172" s="9">
        <v>2693.3052437940382</v>
      </c>
      <c r="I172" s="24"/>
      <c r="J172" s="9">
        <v>13.96255768363366</v>
      </c>
      <c r="K172" s="9">
        <v>14.122353571032809</v>
      </c>
      <c r="L172" s="22">
        <v>816.87734846212606</v>
      </c>
      <c r="M172" s="22">
        <v>826.22618294871688</v>
      </c>
      <c r="N172" s="22">
        <v>573.11426620478562</v>
      </c>
    </row>
    <row r="173" spans="2:14" x14ac:dyDescent="0.25">
      <c r="B173" s="37">
        <v>169</v>
      </c>
      <c r="D173" s="9">
        <v>13.787137907405768</v>
      </c>
      <c r="E173" s="9">
        <v>14.350801955012935</v>
      </c>
      <c r="F173" s="9">
        <v>802.00521532155472</v>
      </c>
      <c r="G173" s="9">
        <v>834.79385564025199</v>
      </c>
      <c r="H173" s="9">
        <v>2709.4921334916658</v>
      </c>
      <c r="I173" s="24"/>
      <c r="J173" s="9">
        <v>14.043017727633544</v>
      </c>
      <c r="K173" s="9">
        <v>14.203733241872213</v>
      </c>
      <c r="L173" s="22">
        <v>816.8898818634035</v>
      </c>
      <c r="M173" s="22">
        <v>826.23878962570723</v>
      </c>
      <c r="N173" s="22">
        <v>576.41252711034338</v>
      </c>
    </row>
    <row r="174" spans="2:14" x14ac:dyDescent="0.25">
      <c r="B174" s="37">
        <v>170</v>
      </c>
      <c r="D174" s="9">
        <v>13.86285166413297</v>
      </c>
      <c r="E174" s="9">
        <v>14.429713687452505</v>
      </c>
      <c r="F174" s="9">
        <v>801.82765290390978</v>
      </c>
      <c r="G174" s="9">
        <v>834.61496511721487</v>
      </c>
      <c r="H174" s="9">
        <v>2724.8645704468745</v>
      </c>
      <c r="I174" s="24"/>
      <c r="J174" s="9">
        <v>14.127072392575913</v>
      </c>
      <c r="K174" s="9">
        <v>14.288706597607597</v>
      </c>
      <c r="L174" s="22">
        <v>817.11018579604956</v>
      </c>
      <c r="M174" s="22">
        <v>826.45911186043656</v>
      </c>
      <c r="N174" s="22">
        <v>579.70744355739691</v>
      </c>
    </row>
    <row r="175" spans="2:14" x14ac:dyDescent="0.25">
      <c r="B175" s="37">
        <v>171</v>
      </c>
      <c r="D175" s="9">
        <v>13.939882517515484</v>
      </c>
      <c r="E175" s="9">
        <v>14.51027810345391</v>
      </c>
      <c r="F175" s="9">
        <v>801.7278473409483</v>
      </c>
      <c r="G175" s="9">
        <v>834.53314714692533</v>
      </c>
      <c r="H175" s="9">
        <v>2741.8501492854516</v>
      </c>
      <c r="I175" s="24"/>
      <c r="J175" s="9">
        <v>14.203100930907077</v>
      </c>
      <c r="K175" s="9">
        <v>14.365655058371916</v>
      </c>
      <c r="L175" s="22">
        <v>816.86639185047216</v>
      </c>
      <c r="M175" s="22">
        <v>826.2154068457578</v>
      </c>
      <c r="N175" s="22">
        <v>583.00676060774629</v>
      </c>
    </row>
    <row r="176" spans="2:14" x14ac:dyDescent="0.25">
      <c r="B176" s="37">
        <v>172</v>
      </c>
      <c r="D176" s="9">
        <v>14.015724563595448</v>
      </c>
      <c r="E176" s="9">
        <v>14.589350918755034</v>
      </c>
      <c r="F176" s="9">
        <v>801.56117513908964</v>
      </c>
      <c r="G176" s="9">
        <v>834.36694363476556</v>
      </c>
      <c r="H176" s="9">
        <v>2757.3802222553254</v>
      </c>
      <c r="I176" s="24"/>
      <c r="J176" s="9">
        <v>14.282779106363385</v>
      </c>
      <c r="K176" s="9">
        <v>14.446251431965205</v>
      </c>
      <c r="L176" s="22">
        <v>816.83406040135458</v>
      </c>
      <c r="M176" s="22">
        <v>826.18306471558469</v>
      </c>
      <c r="N176" s="22">
        <v>586.29991681348349</v>
      </c>
    </row>
    <row r="177" spans="2:14" x14ac:dyDescent="0.25">
      <c r="B177" s="37">
        <v>173</v>
      </c>
      <c r="D177" s="9">
        <v>14.092089877413773</v>
      </c>
      <c r="E177" s="9">
        <v>14.669080362063552</v>
      </c>
      <c r="F177" s="9">
        <v>801.42612376591546</v>
      </c>
      <c r="G177" s="9">
        <v>834.23993999794413</v>
      </c>
      <c r="H177" s="9">
        <v>2773.5513483514837</v>
      </c>
      <c r="I177" s="24"/>
      <c r="J177" s="9">
        <v>14.363997829671128</v>
      </c>
      <c r="K177" s="9">
        <v>14.52839126008063</v>
      </c>
      <c r="L177" s="22">
        <v>816.889702134657</v>
      </c>
      <c r="M177" s="22">
        <v>826.2388611913866</v>
      </c>
      <c r="N177" s="22">
        <v>589.60345844299422</v>
      </c>
    </row>
    <row r="178" spans="2:14" x14ac:dyDescent="0.25">
      <c r="B178" s="37">
        <v>174</v>
      </c>
      <c r="D178" s="9">
        <v>14.167910038595364</v>
      </c>
      <c r="E178" s="9">
        <v>14.748125826881486</v>
      </c>
      <c r="F178" s="9">
        <v>801.26174202587879</v>
      </c>
      <c r="G178" s="9">
        <v>834.07566532201713</v>
      </c>
      <c r="H178" s="9">
        <v>2789.0551486522477</v>
      </c>
      <c r="I178" s="24"/>
      <c r="J178" s="9">
        <v>14.443199830420006</v>
      </c>
      <c r="K178" s="9">
        <v>14.60851145896647</v>
      </c>
      <c r="L178" s="22">
        <v>816.8306705099294</v>
      </c>
      <c r="M178" s="22">
        <v>826.17981820393936</v>
      </c>
      <c r="N178" s="22">
        <v>592.89661464873132</v>
      </c>
    </row>
    <row r="179" spans="2:14" x14ac:dyDescent="0.25">
      <c r="B179" s="37">
        <v>175</v>
      </c>
      <c r="D179" s="9">
        <v>14.243996014864136</v>
      </c>
      <c r="E179" s="9">
        <v>14.8275048800381</v>
      </c>
      <c r="F179" s="9">
        <v>801.11412669242952</v>
      </c>
      <c r="G179" s="9">
        <v>833.93196758857437</v>
      </c>
      <c r="H179" s="9">
        <v>2804.884730049977</v>
      </c>
      <c r="I179" s="24"/>
      <c r="J179" s="9">
        <v>14.5236524833964</v>
      </c>
      <c r="K179" s="9">
        <v>14.689882802735893</v>
      </c>
      <c r="L179" s="22">
        <v>816.84263064092283</v>
      </c>
      <c r="M179" s="22">
        <v>826.19179480584501</v>
      </c>
      <c r="N179" s="22">
        <v>596.19153109578497</v>
      </c>
    </row>
    <row r="180" spans="2:14" x14ac:dyDescent="0.25">
      <c r="B180" s="37">
        <v>176</v>
      </c>
      <c r="D180" s="9">
        <v>14.32011610128192</v>
      </c>
      <c r="E180" s="9">
        <v>14.906926788279391</v>
      </c>
      <c r="F180" s="9">
        <v>800.97004139558305</v>
      </c>
      <c r="G180" s="9">
        <v>833.7922459734956</v>
      </c>
      <c r="H180" s="9">
        <v>2820.7563477182789</v>
      </c>
      <c r="I180" s="24"/>
      <c r="J180" s="9">
        <v>14.604880405019474</v>
      </c>
      <c r="K180" s="9">
        <v>14.772030843854553</v>
      </c>
      <c r="L180" s="22">
        <v>816.89782260485936</v>
      </c>
      <c r="M180" s="22">
        <v>826.24708297161283</v>
      </c>
      <c r="N180" s="22">
        <v>599.4915522426619</v>
      </c>
    </row>
    <row r="181" spans="2:14" x14ac:dyDescent="0.25">
      <c r="B181" s="37">
        <v>177</v>
      </c>
      <c r="D181" s="9">
        <v>14.396866700840651</v>
      </c>
      <c r="E181" s="9">
        <v>14.987139897854656</v>
      </c>
      <c r="F181" s="9">
        <v>800.86260471069875</v>
      </c>
      <c r="G181" s="9">
        <v>833.69806397239665</v>
      </c>
      <c r="H181" s="9">
        <v>2837.4003818584215</v>
      </c>
      <c r="I181" s="24"/>
      <c r="J181" s="9">
        <v>14.678607903162366</v>
      </c>
      <c r="K181" s="9">
        <v>14.846676540134407</v>
      </c>
      <c r="L181" s="22">
        <v>816.53518110070718</v>
      </c>
      <c r="M181" s="22">
        <v>825.8844297374086</v>
      </c>
      <c r="N181" s="22">
        <v>602.78470844839751</v>
      </c>
    </row>
    <row r="182" spans="2:14" x14ac:dyDescent="0.25">
      <c r="B182" s="37">
        <v>178</v>
      </c>
      <c r="D182" s="9">
        <v>14.472578741582012</v>
      </c>
      <c r="E182" s="9">
        <v>15.06604991430839</v>
      </c>
      <c r="F182" s="9">
        <v>800.69887730111873</v>
      </c>
      <c r="G182" s="9">
        <v>833.53281175036011</v>
      </c>
      <c r="H182" s="9">
        <v>2852.7728188136302</v>
      </c>
      <c r="I182" s="24"/>
      <c r="J182" s="9">
        <v>14.766569741049739</v>
      </c>
      <c r="K182" s="9">
        <v>14.935558300454943</v>
      </c>
      <c r="L182" s="22">
        <v>816.96399959989094</v>
      </c>
      <c r="M182" s="22">
        <v>826.31333203114013</v>
      </c>
      <c r="N182" s="22">
        <v>606.08402549874688</v>
      </c>
    </row>
    <row r="183" spans="2:14" x14ac:dyDescent="0.25">
      <c r="B183" s="37">
        <v>179</v>
      </c>
      <c r="D183" s="9">
        <v>14.549607787131801</v>
      </c>
      <c r="E183" s="9">
        <v>15.146612522477081</v>
      </c>
      <c r="F183" s="9">
        <v>800.60938966600304</v>
      </c>
      <c r="G183" s="9">
        <v>833.46028185398563</v>
      </c>
      <c r="H183" s="9">
        <v>2869.7583976522073</v>
      </c>
      <c r="I183" s="24"/>
      <c r="J183" s="9">
        <v>14.842646723430475</v>
      </c>
      <c r="K183" s="9">
        <v>15.012555451596869</v>
      </c>
      <c r="L183" s="22">
        <v>816.73420398202563</v>
      </c>
      <c r="M183" s="22">
        <v>826.0836328564269</v>
      </c>
      <c r="N183" s="22">
        <v>609.38422266975397</v>
      </c>
    </row>
    <row r="184" spans="2:14" x14ac:dyDescent="0.25">
      <c r="B184" s="37">
        <v>180</v>
      </c>
      <c r="D184" s="9">
        <v>14.624761632472721</v>
      </c>
      <c r="E184" s="9">
        <v>15.224822238325643</v>
      </c>
      <c r="F184" s="9">
        <v>800.41823391116964</v>
      </c>
      <c r="G184" s="9">
        <v>833.25975724307887</v>
      </c>
      <c r="H184" s="9">
        <v>2884.4477452105534</v>
      </c>
      <c r="I184" s="24"/>
      <c r="J184" s="9">
        <v>14.926981498524093</v>
      </c>
      <c r="K184" s="9">
        <v>15.097809360873946</v>
      </c>
      <c r="L184" s="22">
        <v>816.95883111998785</v>
      </c>
      <c r="M184" s="22">
        <v>826.30829877772294</v>
      </c>
      <c r="N184" s="22">
        <v>612.68072333399516</v>
      </c>
    </row>
    <row r="185" spans="2:14" x14ac:dyDescent="0.25">
      <c r="B185" s="37">
        <v>181</v>
      </c>
      <c r="D185" s="9">
        <v>14.700601764900474</v>
      </c>
      <c r="E185" s="9">
        <v>15.303893139974551</v>
      </c>
      <c r="F185" s="9">
        <v>800.26648247169408</v>
      </c>
      <c r="G185" s="9">
        <v>833.10825822734876</v>
      </c>
      <c r="H185" s="9">
        <v>2899.9778181804268</v>
      </c>
      <c r="I185" s="24"/>
      <c r="J185" s="9">
        <v>15.009796057027549</v>
      </c>
      <c r="K185" s="9">
        <v>15.181542610170434</v>
      </c>
      <c r="L185" s="22">
        <v>817.09829878221058</v>
      </c>
      <c r="M185" s="22">
        <v>826.44778067134359</v>
      </c>
      <c r="N185" s="22">
        <v>615.97563978104859</v>
      </c>
    </row>
    <row r="186" spans="2:14" x14ac:dyDescent="0.25">
      <c r="B186" s="37">
        <v>182</v>
      </c>
      <c r="D186" s="9">
        <v>14.777630151563708</v>
      </c>
      <c r="E186" s="9">
        <v>15.384455089256676</v>
      </c>
      <c r="F186" s="9">
        <v>800.18068712579293</v>
      </c>
      <c r="G186" s="9">
        <v>833.03910830889754</v>
      </c>
      <c r="H186" s="9">
        <v>2916.9633970190039</v>
      </c>
      <c r="I186" s="24"/>
      <c r="J186" s="9">
        <v>15.086665214439098</v>
      </c>
      <c r="K186" s="9">
        <v>15.259332675327249</v>
      </c>
      <c r="L186" s="22">
        <v>816.91435053605403</v>
      </c>
      <c r="M186" s="22">
        <v>826.26396654895211</v>
      </c>
      <c r="N186" s="22">
        <v>619.27847731403324</v>
      </c>
    </row>
    <row r="187" spans="2:14" x14ac:dyDescent="0.25">
      <c r="B187" s="37">
        <v>183</v>
      </c>
      <c r="D187" s="9">
        <v>14.853341148113477</v>
      </c>
      <c r="E187" s="9">
        <v>15.463364061518812</v>
      </c>
      <c r="F187" s="9">
        <v>800.02484291687608</v>
      </c>
      <c r="G187" s="9">
        <v>832.88165813483022</v>
      </c>
      <c r="H187" s="9">
        <v>2932.3358339742122</v>
      </c>
      <c r="I187" s="24"/>
      <c r="J187" s="9">
        <v>15.168311599877303</v>
      </c>
      <c r="K187" s="9">
        <v>15.341897455964837</v>
      </c>
      <c r="L187" s="22">
        <v>816.98965801693305</v>
      </c>
      <c r="M187" s="22">
        <v>826.339271404535</v>
      </c>
      <c r="N187" s="22">
        <v>622.57233761629664</v>
      </c>
    </row>
    <row r="188" spans="2:14" x14ac:dyDescent="0.25">
      <c r="B188" s="37">
        <v>184</v>
      </c>
      <c r="D188" s="9">
        <v>14.93009021670319</v>
      </c>
      <c r="E188" s="9">
        <v>15.543575640125072</v>
      </c>
      <c r="F188" s="9">
        <v>799.92625712802976</v>
      </c>
      <c r="G188" s="9">
        <v>832.79565653805116</v>
      </c>
      <c r="H188" s="9">
        <v>2948.9798681143538</v>
      </c>
      <c r="I188" s="24"/>
      <c r="J188" s="9">
        <v>15.242871099724514</v>
      </c>
      <c r="K188" s="9">
        <v>15.417374661292966</v>
      </c>
      <c r="L188" s="22">
        <v>816.68447073725042</v>
      </c>
      <c r="M188" s="22">
        <v>826.03404457336796</v>
      </c>
      <c r="N188" s="22">
        <v>625.86373358071455</v>
      </c>
    </row>
    <row r="189" spans="2:14" x14ac:dyDescent="0.25">
      <c r="B189" s="37">
        <v>185</v>
      </c>
      <c r="D189" s="9">
        <v>15.005543378206298</v>
      </c>
      <c r="E189" s="9">
        <v>15.622161190322986</v>
      </c>
      <c r="F189" s="9">
        <v>799.7596348974937</v>
      </c>
      <c r="G189" s="9">
        <v>832.62389204968497</v>
      </c>
      <c r="H189" s="9">
        <v>2964.0370330402443</v>
      </c>
      <c r="I189" s="24"/>
      <c r="J189" s="9">
        <v>15.329187432802968</v>
      </c>
      <c r="K189" s="9">
        <v>15.504611902116681</v>
      </c>
      <c r="L189" s="22">
        <v>817.00909027655757</v>
      </c>
      <c r="M189" s="22">
        <v>826.35879564838604</v>
      </c>
      <c r="N189" s="22">
        <v>629.16657111369943</v>
      </c>
    </row>
    <row r="190" spans="2:14" x14ac:dyDescent="0.25">
      <c r="B190" s="37">
        <v>186</v>
      </c>
      <c r="D190" s="9">
        <v>15.082292017363345</v>
      </c>
      <c r="E190" s="9">
        <v>15.702372339496568</v>
      </c>
      <c r="F190" s="9">
        <v>799.6634345671863</v>
      </c>
      <c r="G190" s="9">
        <v>832.54010606603617</v>
      </c>
      <c r="H190" s="9">
        <v>2980.6810671803864</v>
      </c>
      <c r="I190" s="24"/>
      <c r="J190" s="9">
        <v>15.403764820025566</v>
      </c>
      <c r="K190" s="9">
        <v>15.580107684538671</v>
      </c>
      <c r="L190" s="22">
        <v>816.70792921036536</v>
      </c>
      <c r="M190" s="22">
        <v>826.05763153250734</v>
      </c>
      <c r="N190" s="22">
        <v>632.46043141596397</v>
      </c>
    </row>
    <row r="191" spans="2:14" x14ac:dyDescent="0.25">
      <c r="B191" s="37">
        <v>187</v>
      </c>
      <c r="D191" s="9">
        <v>15.158109447940298</v>
      </c>
      <c r="E191" s="9">
        <v>15.78141507370988</v>
      </c>
      <c r="F191" s="9">
        <v>799.51911425041487</v>
      </c>
      <c r="G191" s="9">
        <v>832.39555992684529</v>
      </c>
      <c r="H191" s="9">
        <v>2996.1848674811508</v>
      </c>
      <c r="I191" s="24"/>
      <c r="J191" s="9">
        <v>15.48687835436658</v>
      </c>
      <c r="K191" s="9">
        <v>15.664140648656801</v>
      </c>
      <c r="L191" s="22">
        <v>816.86013067213867</v>
      </c>
      <c r="M191" s="22">
        <v>826.20988454531516</v>
      </c>
      <c r="N191" s="22">
        <v>635.75798822499439</v>
      </c>
    </row>
    <row r="192" spans="2:14" x14ac:dyDescent="0.25">
      <c r="B192" s="37">
        <v>188</v>
      </c>
      <c r="D192" s="9">
        <v>15.234471536160676</v>
      </c>
      <c r="E192" s="9">
        <v>15.861141291420441</v>
      </c>
      <c r="F192" s="9">
        <v>799.4048618226135</v>
      </c>
      <c r="G192" s="9">
        <v>832.28836867237555</v>
      </c>
      <c r="H192" s="9">
        <v>3012.3559935773083</v>
      </c>
      <c r="I192" s="24"/>
      <c r="J192" s="9">
        <v>15.562623183062961</v>
      </c>
      <c r="K192" s="9">
        <v>15.740804168146189</v>
      </c>
      <c r="L192" s="22">
        <v>816.62410184194243</v>
      </c>
      <c r="M192" s="22">
        <v>825.9738679576742</v>
      </c>
      <c r="N192" s="22">
        <v>639.05290467204929</v>
      </c>
    </row>
    <row r="193" spans="2:14" x14ac:dyDescent="0.25">
      <c r="B193" s="37">
        <v>189</v>
      </c>
      <c r="D193" s="9">
        <v>15.310310009832698</v>
      </c>
      <c r="E193" s="9">
        <v>15.940210534313607</v>
      </c>
      <c r="F193" s="9">
        <v>799.26444626893237</v>
      </c>
      <c r="G193" s="9">
        <v>832.14797988650196</v>
      </c>
      <c r="H193" s="9">
        <v>3027.8860665471825</v>
      </c>
      <c r="I193" s="24"/>
      <c r="J193" s="9">
        <v>15.653183487389569</v>
      </c>
      <c r="K193" s="9">
        <v>15.83228587287412</v>
      </c>
      <c r="L193" s="22">
        <v>817.16392577024851</v>
      </c>
      <c r="M193" s="22">
        <v>826.51384545625228</v>
      </c>
      <c r="N193" s="22">
        <v>642.35750244635199</v>
      </c>
    </row>
    <row r="194" spans="2:14" x14ac:dyDescent="0.25">
      <c r="B194" s="37">
        <v>190</v>
      </c>
      <c r="D194" s="9">
        <v>15.387336654602853</v>
      </c>
      <c r="E194" s="9">
        <v>16.020770741702673</v>
      </c>
      <c r="F194" s="9">
        <v>799.18717473308311</v>
      </c>
      <c r="G194" s="9">
        <v>832.08646132258548</v>
      </c>
      <c r="H194" s="9">
        <v>3044.8716453857596</v>
      </c>
      <c r="I194" s="24"/>
      <c r="J194" s="9">
        <v>15.719998449485349</v>
      </c>
      <c r="K194" s="9">
        <v>15.900018737513241</v>
      </c>
      <c r="L194" s="22">
        <v>816.4649561946494</v>
      </c>
      <c r="M194" s="22">
        <v>825.81484621220557</v>
      </c>
      <c r="N194" s="22">
        <v>645.64960250729723</v>
      </c>
    </row>
    <row r="195" spans="2:14" x14ac:dyDescent="0.25">
      <c r="B195" s="37">
        <v>191</v>
      </c>
      <c r="D195" s="9">
        <v>15.463046013135438</v>
      </c>
      <c r="E195" s="9">
        <v>16.099678075947622</v>
      </c>
      <c r="F195" s="9">
        <v>799.04261778967259</v>
      </c>
      <c r="G195" s="9">
        <v>831.94015619227218</v>
      </c>
      <c r="H195" s="9">
        <v>3060.2440823409684</v>
      </c>
      <c r="I195" s="24"/>
      <c r="J195" s="9">
        <v>15.805515818859897</v>
      </c>
      <c r="K195" s="9">
        <v>15.986455044008835</v>
      </c>
      <c r="L195" s="22">
        <v>816.73951721346884</v>
      </c>
      <c r="M195" s="22">
        <v>826.08943132489469</v>
      </c>
      <c r="N195" s="22">
        <v>648.94539907500996</v>
      </c>
    </row>
    <row r="196" spans="2:14" x14ac:dyDescent="0.25">
      <c r="B196" s="37">
        <v>192</v>
      </c>
      <c r="D196" s="9">
        <v>15.539420135548568</v>
      </c>
      <c r="E196" s="9">
        <v>16.179419607201822</v>
      </c>
      <c r="F196" s="9">
        <v>798.9336987577118</v>
      </c>
      <c r="G196" s="9">
        <v>831.83821775718263</v>
      </c>
      <c r="H196" s="9">
        <v>3076.4309720385959</v>
      </c>
      <c r="I196" s="24"/>
      <c r="J196" s="9">
        <v>15.886741405647934</v>
      </c>
      <c r="K196" s="9">
        <v>16.068600306901999</v>
      </c>
      <c r="L196" s="22">
        <v>816.79064995391013</v>
      </c>
      <c r="M196" s="22">
        <v>826.14062590948299</v>
      </c>
      <c r="N196" s="22">
        <v>652.24383600470026</v>
      </c>
    </row>
    <row r="197" spans="2:14" x14ac:dyDescent="0.25">
      <c r="B197" s="37">
        <v>193</v>
      </c>
      <c r="D197" s="9">
        <v>15.615244925186349</v>
      </c>
      <c r="E197" s="9">
        <v>16.258471886709881</v>
      </c>
      <c r="F197" s="9">
        <v>798.79777327411171</v>
      </c>
      <c r="G197" s="9">
        <v>831.70204515947489</v>
      </c>
      <c r="H197" s="9">
        <v>3091.945281407</v>
      </c>
      <c r="I197" s="24"/>
      <c r="J197" s="9">
        <v>15.962524031621941</v>
      </c>
      <c r="K197" s="9">
        <v>16.145301328075405</v>
      </c>
      <c r="L197" s="22">
        <v>816.56283416521148</v>
      </c>
      <c r="M197" s="22">
        <v>825.91280581865624</v>
      </c>
      <c r="N197" s="22">
        <v>655.53769630696343</v>
      </c>
    </row>
    <row r="198" spans="2:14" x14ac:dyDescent="0.25">
      <c r="B198" s="37">
        <v>194</v>
      </c>
      <c r="D198" s="9">
        <v>15.691060936812335</v>
      </c>
      <c r="E198" s="9">
        <v>16.337513201972218</v>
      </c>
      <c r="F198" s="9">
        <v>798.66276025139496</v>
      </c>
      <c r="G198" s="9">
        <v>831.56667621619056</v>
      </c>
      <c r="H198" s="9">
        <v>3107.449081707764</v>
      </c>
      <c r="I198" s="24"/>
      <c r="J198" s="9">
        <v>16.04871322545948</v>
      </c>
      <c r="K198" s="9">
        <v>16.232410444346101</v>
      </c>
      <c r="L198" s="22">
        <v>816.86698271993555</v>
      </c>
      <c r="M198" s="22">
        <v>826.21702784928027</v>
      </c>
      <c r="N198" s="22">
        <v>658.8370133573128</v>
      </c>
    </row>
    <row r="199" spans="2:14" x14ac:dyDescent="0.25">
      <c r="B199" s="37">
        <v>195</v>
      </c>
    </row>
    <row r="200" spans="2:14" x14ac:dyDescent="0.25">
      <c r="B200" s="37">
        <v>196</v>
      </c>
    </row>
    <row r="201" spans="2:14" x14ac:dyDescent="0.25">
      <c r="B201" s="37">
        <v>197</v>
      </c>
    </row>
    <row r="202" spans="2:14" x14ac:dyDescent="0.25">
      <c r="B202" s="37">
        <v>198</v>
      </c>
    </row>
    <row r="203" spans="2:14" x14ac:dyDescent="0.25">
      <c r="B203" s="37">
        <v>199</v>
      </c>
    </row>
    <row r="204" spans="2:14" x14ac:dyDescent="0.25">
      <c r="B204" s="37">
        <v>200</v>
      </c>
    </row>
    <row r="205" spans="2:14" x14ac:dyDescent="0.25">
      <c r="B205" s="37">
        <v>201</v>
      </c>
    </row>
    <row r="206" spans="2:14" x14ac:dyDescent="0.25">
      <c r="B206" s="37">
        <v>202</v>
      </c>
    </row>
    <row r="207" spans="2:14" x14ac:dyDescent="0.25">
      <c r="B207" s="37">
        <v>203</v>
      </c>
    </row>
    <row r="208" spans="2:14" x14ac:dyDescent="0.25">
      <c r="B208" s="37">
        <v>204</v>
      </c>
    </row>
    <row r="209" spans="2:2" x14ac:dyDescent="0.25">
      <c r="B209" s="37">
        <v>205</v>
      </c>
    </row>
    <row r="210" spans="2:2" x14ac:dyDescent="0.25">
      <c r="B210" s="37">
        <v>206</v>
      </c>
    </row>
    <row r="211" spans="2:2" x14ac:dyDescent="0.25">
      <c r="B211" s="37">
        <v>207</v>
      </c>
    </row>
    <row r="212" spans="2:2" x14ac:dyDescent="0.25">
      <c r="B212" s="37">
        <v>208</v>
      </c>
    </row>
    <row r="213" spans="2:2" x14ac:dyDescent="0.25">
      <c r="B213" s="37">
        <v>209</v>
      </c>
    </row>
    <row r="214" spans="2:2" x14ac:dyDescent="0.25">
      <c r="B214" s="37">
        <v>210</v>
      </c>
    </row>
    <row r="215" spans="2:2" x14ac:dyDescent="0.25">
      <c r="B215" s="37">
        <v>211</v>
      </c>
    </row>
    <row r="216" spans="2:2" x14ac:dyDescent="0.25">
      <c r="B216" s="37">
        <v>212</v>
      </c>
    </row>
    <row r="217" spans="2:2" x14ac:dyDescent="0.25">
      <c r="B217" s="37">
        <v>213</v>
      </c>
    </row>
    <row r="218" spans="2:2" x14ac:dyDescent="0.25">
      <c r="B218" s="37">
        <v>214</v>
      </c>
    </row>
    <row r="219" spans="2:2" x14ac:dyDescent="0.25">
      <c r="B219" s="37">
        <v>215</v>
      </c>
    </row>
    <row r="220" spans="2:2" x14ac:dyDescent="0.25">
      <c r="B220" s="37">
        <v>216</v>
      </c>
    </row>
    <row r="221" spans="2:2" x14ac:dyDescent="0.25">
      <c r="B221" s="37">
        <v>217</v>
      </c>
    </row>
    <row r="222" spans="2:2" x14ac:dyDescent="0.25">
      <c r="B222" s="37">
        <v>218</v>
      </c>
    </row>
    <row r="223" spans="2:2" x14ac:dyDescent="0.25">
      <c r="B223" s="37">
        <v>219</v>
      </c>
    </row>
    <row r="224" spans="2:2" x14ac:dyDescent="0.25">
      <c r="B224" s="37">
        <v>220</v>
      </c>
    </row>
    <row r="225" spans="2:2" x14ac:dyDescent="0.25">
      <c r="B225" s="37">
        <v>221</v>
      </c>
    </row>
    <row r="226" spans="2:2" x14ac:dyDescent="0.25">
      <c r="B226" s="37">
        <v>222</v>
      </c>
    </row>
    <row r="227" spans="2:2" x14ac:dyDescent="0.25">
      <c r="B227" s="37">
        <v>223</v>
      </c>
    </row>
    <row r="228" spans="2:2" x14ac:dyDescent="0.25">
      <c r="B228" s="37">
        <v>224</v>
      </c>
    </row>
    <row r="229" spans="2:2" x14ac:dyDescent="0.25">
      <c r="B229" s="37">
        <v>225</v>
      </c>
    </row>
    <row r="230" spans="2:2" x14ac:dyDescent="0.25">
      <c r="B230" s="37">
        <v>226</v>
      </c>
    </row>
    <row r="231" spans="2:2" x14ac:dyDescent="0.25">
      <c r="B231" s="37">
        <v>227</v>
      </c>
    </row>
    <row r="232" spans="2:2" x14ac:dyDescent="0.25">
      <c r="B232" s="37">
        <v>228</v>
      </c>
    </row>
    <row r="233" spans="2:2" x14ac:dyDescent="0.25">
      <c r="B233" s="37">
        <v>229</v>
      </c>
    </row>
    <row r="234" spans="2:2" x14ac:dyDescent="0.25">
      <c r="B234" s="37">
        <v>230</v>
      </c>
    </row>
    <row r="235" spans="2:2" x14ac:dyDescent="0.25">
      <c r="B235" s="37">
        <v>231</v>
      </c>
    </row>
    <row r="236" spans="2:2" x14ac:dyDescent="0.25">
      <c r="B236" s="37">
        <v>232</v>
      </c>
    </row>
    <row r="237" spans="2:2" x14ac:dyDescent="0.25">
      <c r="B237" s="37">
        <v>233</v>
      </c>
    </row>
    <row r="238" spans="2:2" x14ac:dyDescent="0.25">
      <c r="B238" s="37">
        <v>234</v>
      </c>
    </row>
    <row r="239" spans="2:2" x14ac:dyDescent="0.25">
      <c r="B239" s="37">
        <v>235</v>
      </c>
    </row>
    <row r="240" spans="2:2" x14ac:dyDescent="0.25">
      <c r="B240" s="37">
        <v>236</v>
      </c>
    </row>
    <row r="241" spans="2:2" x14ac:dyDescent="0.25">
      <c r="B241" s="37">
        <v>237</v>
      </c>
    </row>
    <row r="242" spans="2:2" x14ac:dyDescent="0.25">
      <c r="B242" s="37">
        <v>238</v>
      </c>
    </row>
    <row r="243" spans="2:2" x14ac:dyDescent="0.25">
      <c r="B243" s="37">
        <v>239</v>
      </c>
    </row>
    <row r="244" spans="2:2" x14ac:dyDescent="0.25">
      <c r="B244" s="37">
        <v>240</v>
      </c>
    </row>
    <row r="245" spans="2:2" x14ac:dyDescent="0.25">
      <c r="B245" s="37">
        <v>241</v>
      </c>
    </row>
    <row r="246" spans="2:2" x14ac:dyDescent="0.25">
      <c r="B246" s="37">
        <v>242</v>
      </c>
    </row>
    <row r="247" spans="2:2" x14ac:dyDescent="0.25">
      <c r="B247" s="37">
        <v>243</v>
      </c>
    </row>
    <row r="248" spans="2:2" x14ac:dyDescent="0.25">
      <c r="B248" s="37">
        <v>244</v>
      </c>
    </row>
    <row r="249" spans="2:2" x14ac:dyDescent="0.25">
      <c r="B249" s="37">
        <v>245</v>
      </c>
    </row>
    <row r="250" spans="2:2" x14ac:dyDescent="0.25">
      <c r="B250" s="37">
        <v>246</v>
      </c>
    </row>
    <row r="251" spans="2:2" x14ac:dyDescent="0.25">
      <c r="B251" s="37">
        <v>247</v>
      </c>
    </row>
    <row r="252" spans="2:2" x14ac:dyDescent="0.25">
      <c r="B252" s="37">
        <v>248</v>
      </c>
    </row>
    <row r="253" spans="2:2" x14ac:dyDescent="0.25">
      <c r="B253" s="37">
        <v>249</v>
      </c>
    </row>
    <row r="254" spans="2:2" x14ac:dyDescent="0.25">
      <c r="B254" s="37">
        <v>250</v>
      </c>
    </row>
    <row r="255" spans="2:2" x14ac:dyDescent="0.25">
      <c r="B255" s="37">
        <v>251</v>
      </c>
    </row>
    <row r="256" spans="2:2" x14ac:dyDescent="0.25">
      <c r="B256" s="37">
        <v>252</v>
      </c>
    </row>
    <row r="257" spans="2:2" x14ac:dyDescent="0.25">
      <c r="B257" s="37">
        <v>253</v>
      </c>
    </row>
    <row r="258" spans="2:2" x14ac:dyDescent="0.25">
      <c r="B258" s="37">
        <v>254</v>
      </c>
    </row>
    <row r="259" spans="2:2" x14ac:dyDescent="0.25">
      <c r="B259" s="37">
        <v>255</v>
      </c>
    </row>
    <row r="260" spans="2:2" x14ac:dyDescent="0.25">
      <c r="B260" s="37">
        <v>256</v>
      </c>
    </row>
    <row r="261" spans="2:2" x14ac:dyDescent="0.25">
      <c r="B261" s="37">
        <v>257</v>
      </c>
    </row>
    <row r="262" spans="2:2" x14ac:dyDescent="0.25">
      <c r="B262" s="37">
        <v>258</v>
      </c>
    </row>
    <row r="263" spans="2:2" x14ac:dyDescent="0.25">
      <c r="B263" s="37">
        <v>259</v>
      </c>
    </row>
    <row r="264" spans="2:2" x14ac:dyDescent="0.25">
      <c r="B264" s="37">
        <v>260</v>
      </c>
    </row>
    <row r="265" spans="2:2" x14ac:dyDescent="0.25">
      <c r="B265" s="37">
        <v>261</v>
      </c>
    </row>
    <row r="266" spans="2:2" x14ac:dyDescent="0.25">
      <c r="B266" s="37">
        <v>262</v>
      </c>
    </row>
    <row r="267" spans="2:2" x14ac:dyDescent="0.25">
      <c r="B267" s="37">
        <v>263</v>
      </c>
    </row>
    <row r="268" spans="2:2" x14ac:dyDescent="0.25">
      <c r="B268" s="37">
        <v>264</v>
      </c>
    </row>
    <row r="269" spans="2:2" x14ac:dyDescent="0.25">
      <c r="B269" s="37">
        <v>265</v>
      </c>
    </row>
    <row r="270" spans="2:2" x14ac:dyDescent="0.25">
      <c r="B270" s="37">
        <v>266</v>
      </c>
    </row>
    <row r="271" spans="2:2" x14ac:dyDescent="0.25">
      <c r="B271" s="37">
        <v>267</v>
      </c>
    </row>
    <row r="272" spans="2:2" x14ac:dyDescent="0.25">
      <c r="B272" s="37">
        <v>268</v>
      </c>
    </row>
    <row r="273" spans="2:2" x14ac:dyDescent="0.25">
      <c r="B273" s="37">
        <v>269</v>
      </c>
    </row>
    <row r="274" spans="2:2" x14ac:dyDescent="0.25">
      <c r="B274" s="37">
        <v>270</v>
      </c>
    </row>
    <row r="275" spans="2:2" x14ac:dyDescent="0.25">
      <c r="B275" s="37">
        <v>271</v>
      </c>
    </row>
    <row r="276" spans="2:2" x14ac:dyDescent="0.25">
      <c r="B276" s="37">
        <v>272</v>
      </c>
    </row>
    <row r="277" spans="2:2" x14ac:dyDescent="0.25">
      <c r="B277" s="37">
        <v>273</v>
      </c>
    </row>
    <row r="278" spans="2:2" x14ac:dyDescent="0.25">
      <c r="B278" s="37">
        <v>274</v>
      </c>
    </row>
    <row r="279" spans="2:2" x14ac:dyDescent="0.25">
      <c r="B279" s="37">
        <v>275</v>
      </c>
    </row>
    <row r="280" spans="2:2" x14ac:dyDescent="0.25">
      <c r="B280" s="37">
        <v>276</v>
      </c>
    </row>
    <row r="281" spans="2:2" x14ac:dyDescent="0.25">
      <c r="B281" s="37">
        <v>277</v>
      </c>
    </row>
    <row r="282" spans="2:2" x14ac:dyDescent="0.25">
      <c r="B282" s="37">
        <v>278</v>
      </c>
    </row>
    <row r="283" spans="2:2" x14ac:dyDescent="0.25">
      <c r="B283" s="37">
        <v>279</v>
      </c>
    </row>
    <row r="284" spans="2:2" x14ac:dyDescent="0.25">
      <c r="B284" s="37">
        <v>280</v>
      </c>
    </row>
    <row r="285" spans="2:2" x14ac:dyDescent="0.25">
      <c r="B285" s="37">
        <v>281</v>
      </c>
    </row>
    <row r="286" spans="2:2" x14ac:dyDescent="0.25">
      <c r="B286" s="37">
        <v>282</v>
      </c>
    </row>
    <row r="287" spans="2:2" x14ac:dyDescent="0.25">
      <c r="B287" s="37">
        <v>283</v>
      </c>
    </row>
    <row r="288" spans="2:2" x14ac:dyDescent="0.25">
      <c r="B288" s="37">
        <v>284</v>
      </c>
    </row>
    <row r="289" spans="2:2" x14ac:dyDescent="0.25">
      <c r="B289" s="37">
        <v>285</v>
      </c>
    </row>
    <row r="290" spans="2:2" x14ac:dyDescent="0.25">
      <c r="B290" s="37">
        <v>286</v>
      </c>
    </row>
    <row r="291" spans="2:2" x14ac:dyDescent="0.25">
      <c r="B291" s="37">
        <v>287</v>
      </c>
    </row>
    <row r="292" spans="2:2" x14ac:dyDescent="0.25">
      <c r="B292" s="37">
        <v>288</v>
      </c>
    </row>
    <row r="293" spans="2:2" x14ac:dyDescent="0.25">
      <c r="B293" s="37">
        <v>289</v>
      </c>
    </row>
    <row r="294" spans="2:2" x14ac:dyDescent="0.25">
      <c r="B294" s="37">
        <v>290</v>
      </c>
    </row>
    <row r="295" spans="2:2" x14ac:dyDescent="0.25">
      <c r="B295" s="37">
        <v>291</v>
      </c>
    </row>
    <row r="296" spans="2:2" x14ac:dyDescent="0.25">
      <c r="B296" s="37">
        <v>292</v>
      </c>
    </row>
    <row r="297" spans="2:2" x14ac:dyDescent="0.25">
      <c r="B297" s="37">
        <v>293</v>
      </c>
    </row>
    <row r="298" spans="2:2" x14ac:dyDescent="0.25">
      <c r="B298" s="37">
        <v>294</v>
      </c>
    </row>
    <row r="299" spans="2:2" x14ac:dyDescent="0.25">
      <c r="B299" s="37">
        <v>295</v>
      </c>
    </row>
    <row r="300" spans="2:2" x14ac:dyDescent="0.25">
      <c r="B300" s="37">
        <v>296</v>
      </c>
    </row>
    <row r="301" spans="2:2" x14ac:dyDescent="0.25">
      <c r="B301" s="37">
        <v>297</v>
      </c>
    </row>
    <row r="302" spans="2:2" x14ac:dyDescent="0.25">
      <c r="B302" s="37">
        <v>298</v>
      </c>
    </row>
    <row r="303" spans="2:2" x14ac:dyDescent="0.25">
      <c r="B303" s="37">
        <v>299</v>
      </c>
    </row>
    <row r="304" spans="2:2" x14ac:dyDescent="0.25">
      <c r="B304" s="37">
        <v>300</v>
      </c>
    </row>
    <row r="305" spans="2:2" x14ac:dyDescent="0.25">
      <c r="B305" s="37">
        <v>301</v>
      </c>
    </row>
    <row r="306" spans="2:2" x14ac:dyDescent="0.25">
      <c r="B306" s="37">
        <v>302</v>
      </c>
    </row>
    <row r="307" spans="2:2" x14ac:dyDescent="0.25">
      <c r="B307" s="37">
        <v>303</v>
      </c>
    </row>
    <row r="308" spans="2:2" x14ac:dyDescent="0.25">
      <c r="B308" s="37">
        <v>304</v>
      </c>
    </row>
    <row r="309" spans="2:2" x14ac:dyDescent="0.25">
      <c r="B309" s="37">
        <v>305</v>
      </c>
    </row>
    <row r="310" spans="2:2" x14ac:dyDescent="0.25">
      <c r="B310" s="37">
        <v>306</v>
      </c>
    </row>
    <row r="311" spans="2:2" x14ac:dyDescent="0.25">
      <c r="B311" s="37">
        <v>307</v>
      </c>
    </row>
    <row r="312" spans="2:2" x14ac:dyDescent="0.25">
      <c r="B312" s="37">
        <v>308</v>
      </c>
    </row>
    <row r="313" spans="2:2" x14ac:dyDescent="0.25">
      <c r="B313" s="37">
        <v>309</v>
      </c>
    </row>
    <row r="314" spans="2:2" x14ac:dyDescent="0.25">
      <c r="B314" s="37">
        <v>310</v>
      </c>
    </row>
    <row r="315" spans="2:2" x14ac:dyDescent="0.25">
      <c r="B315" s="37">
        <v>311</v>
      </c>
    </row>
    <row r="316" spans="2:2" x14ac:dyDescent="0.25">
      <c r="B316" s="37">
        <v>312</v>
      </c>
    </row>
    <row r="317" spans="2:2" x14ac:dyDescent="0.25">
      <c r="B317" s="37">
        <v>313</v>
      </c>
    </row>
    <row r="318" spans="2:2" x14ac:dyDescent="0.25">
      <c r="B318" s="37">
        <v>314</v>
      </c>
    </row>
    <row r="319" spans="2:2" x14ac:dyDescent="0.25">
      <c r="B319" s="37">
        <v>315</v>
      </c>
    </row>
    <row r="320" spans="2:2" x14ac:dyDescent="0.25">
      <c r="B320" s="37">
        <v>316</v>
      </c>
    </row>
    <row r="321" spans="2:2" x14ac:dyDescent="0.25">
      <c r="B321" s="37">
        <v>317</v>
      </c>
    </row>
    <row r="322" spans="2:2" x14ac:dyDescent="0.25">
      <c r="B322" s="37">
        <v>318</v>
      </c>
    </row>
    <row r="323" spans="2:2" x14ac:dyDescent="0.25">
      <c r="B323" s="37">
        <v>319</v>
      </c>
    </row>
    <row r="324" spans="2:2" x14ac:dyDescent="0.25">
      <c r="B324" s="37">
        <v>320</v>
      </c>
    </row>
    <row r="325" spans="2:2" x14ac:dyDescent="0.25">
      <c r="B325" s="37">
        <v>321</v>
      </c>
    </row>
    <row r="326" spans="2:2" x14ac:dyDescent="0.25">
      <c r="B326" s="37">
        <v>322</v>
      </c>
    </row>
    <row r="327" spans="2:2" x14ac:dyDescent="0.25">
      <c r="B327" s="37">
        <v>323</v>
      </c>
    </row>
    <row r="328" spans="2:2" x14ac:dyDescent="0.25">
      <c r="B328" s="37">
        <v>324</v>
      </c>
    </row>
    <row r="329" spans="2:2" x14ac:dyDescent="0.25">
      <c r="B329" s="37">
        <v>325</v>
      </c>
    </row>
    <row r="330" spans="2:2" x14ac:dyDescent="0.25">
      <c r="B330" s="37">
        <v>326</v>
      </c>
    </row>
    <row r="331" spans="2:2" x14ac:dyDescent="0.25">
      <c r="B331" s="37">
        <v>327</v>
      </c>
    </row>
    <row r="332" spans="2:2" x14ac:dyDescent="0.25">
      <c r="B332" s="37">
        <v>328</v>
      </c>
    </row>
    <row r="333" spans="2:2" x14ac:dyDescent="0.25">
      <c r="B333" s="37">
        <v>329</v>
      </c>
    </row>
    <row r="334" spans="2:2" x14ac:dyDescent="0.25">
      <c r="B334" s="37">
        <v>330</v>
      </c>
    </row>
    <row r="335" spans="2:2" x14ac:dyDescent="0.25">
      <c r="B335" s="37">
        <v>331</v>
      </c>
    </row>
    <row r="336" spans="2:2" x14ac:dyDescent="0.25">
      <c r="B336" s="37">
        <v>332</v>
      </c>
    </row>
    <row r="337" spans="2:2" x14ac:dyDescent="0.25">
      <c r="B337" s="37">
        <v>333</v>
      </c>
    </row>
    <row r="338" spans="2:2" x14ac:dyDescent="0.25">
      <c r="B338" s="37">
        <v>334</v>
      </c>
    </row>
    <row r="339" spans="2:2" x14ac:dyDescent="0.25">
      <c r="B339" s="37">
        <v>335</v>
      </c>
    </row>
    <row r="340" spans="2:2" x14ac:dyDescent="0.25">
      <c r="B340" s="37">
        <v>336</v>
      </c>
    </row>
    <row r="341" spans="2:2" x14ac:dyDescent="0.25">
      <c r="B341" s="37">
        <v>337</v>
      </c>
    </row>
    <row r="342" spans="2:2" x14ac:dyDescent="0.25">
      <c r="B342" s="37">
        <v>338</v>
      </c>
    </row>
    <row r="343" spans="2:2" x14ac:dyDescent="0.25">
      <c r="B343" s="37">
        <v>339</v>
      </c>
    </row>
    <row r="344" spans="2:2" x14ac:dyDescent="0.25">
      <c r="B344" s="37">
        <v>340</v>
      </c>
    </row>
    <row r="345" spans="2:2" x14ac:dyDescent="0.25">
      <c r="B345" s="37">
        <v>341</v>
      </c>
    </row>
    <row r="346" spans="2:2" x14ac:dyDescent="0.25">
      <c r="B346" s="37">
        <v>342</v>
      </c>
    </row>
    <row r="347" spans="2:2" x14ac:dyDescent="0.25">
      <c r="B347" s="37">
        <v>343</v>
      </c>
    </row>
    <row r="348" spans="2:2" x14ac:dyDescent="0.25">
      <c r="B348" s="37">
        <v>344</v>
      </c>
    </row>
    <row r="349" spans="2:2" x14ac:dyDescent="0.25">
      <c r="B349" s="37">
        <v>345</v>
      </c>
    </row>
    <row r="350" spans="2:2" x14ac:dyDescent="0.25">
      <c r="B350" s="37">
        <v>346</v>
      </c>
    </row>
    <row r="351" spans="2:2" x14ac:dyDescent="0.25">
      <c r="B351" s="37">
        <v>347</v>
      </c>
    </row>
    <row r="352" spans="2:2" x14ac:dyDescent="0.25">
      <c r="B352" s="37">
        <v>348</v>
      </c>
    </row>
    <row r="353" spans="2:2" x14ac:dyDescent="0.25">
      <c r="B353" s="37">
        <v>349</v>
      </c>
    </row>
    <row r="354" spans="2:2" x14ac:dyDescent="0.25">
      <c r="B354" s="37">
        <v>350</v>
      </c>
    </row>
  </sheetData>
  <mergeCells count="2">
    <mergeCell ref="R25:T25"/>
    <mergeCell ref="R34:T34"/>
  </mergeCells>
  <conditionalFormatting sqref="E8:E198">
    <cfRule type="cellIs" dxfId="4" priority="1" operator="greaterThan">
      <formula>K8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9A7B00-CB26-4D5A-B5EF-32B8EF8B1D99}">
  <sheetPr codeName="Sheet11">
    <tabColor theme="6" tint="0.79998168889431442"/>
  </sheetPr>
  <dimension ref="A1:AF354"/>
  <sheetViews>
    <sheetView topLeftCell="P1" zoomScale="70" zoomScaleNormal="70" workbookViewId="0">
      <selection activeCell="V7" sqref="V7:V8"/>
    </sheetView>
  </sheetViews>
  <sheetFormatPr defaultColWidth="9.140625" defaultRowHeight="15" x14ac:dyDescent="0.25"/>
  <cols>
    <col min="1" max="1" width="3.28515625" style="10" customWidth="1"/>
    <col min="2" max="2" width="12.85546875" style="10" customWidth="1"/>
    <col min="3" max="3" width="2.85546875" style="10" customWidth="1"/>
    <col min="4" max="8" width="18.5703125" style="10" customWidth="1"/>
    <col min="9" max="9" width="4.42578125" style="10" customWidth="1"/>
    <col min="10" max="14" width="18.5703125" style="10" customWidth="1"/>
    <col min="15" max="15" width="4.140625" style="10" customWidth="1"/>
    <col min="16" max="16" width="20.140625" style="10" customWidth="1"/>
    <col min="17" max="17" width="33.7109375" style="10" customWidth="1"/>
    <col min="18" max="18" width="17.85546875" style="10" bestFit="1" customWidth="1"/>
    <col min="19" max="21" width="20.140625" style="10" bestFit="1" customWidth="1"/>
    <col min="22" max="29" width="21.7109375" style="10" bestFit="1" customWidth="1"/>
    <col min="30" max="16384" width="9.140625" style="10"/>
  </cols>
  <sheetData>
    <row r="1" spans="1:29" x14ac:dyDescent="0.25">
      <c r="A1"/>
      <c r="B1"/>
      <c r="C1"/>
      <c r="D1"/>
      <c r="E1"/>
      <c r="F1"/>
    </row>
    <row r="2" spans="1:29" x14ac:dyDescent="0.25">
      <c r="A2"/>
      <c r="B2"/>
      <c r="C2"/>
      <c r="D2"/>
      <c r="E2"/>
      <c r="F2"/>
    </row>
    <row r="3" spans="1:29" x14ac:dyDescent="0.25">
      <c r="A3"/>
      <c r="B3"/>
      <c r="C3"/>
      <c r="D3"/>
      <c r="E3"/>
      <c r="F3"/>
    </row>
    <row r="4" spans="1:29" ht="15.75" thickBot="1" x14ac:dyDescent="0.3">
      <c r="A4"/>
      <c r="B4"/>
      <c r="C4"/>
      <c r="D4"/>
      <c r="E4"/>
      <c r="F4"/>
    </row>
    <row r="5" spans="1:29" ht="30.75" customHeight="1" thickBot="1" x14ac:dyDescent="0.3">
      <c r="B5" s="3" t="s">
        <v>41</v>
      </c>
      <c r="D5" s="3" t="s">
        <v>46</v>
      </c>
      <c r="E5" s="4"/>
      <c r="F5" s="4"/>
      <c r="G5" s="4"/>
      <c r="H5" s="4"/>
      <c r="J5" s="3" t="s">
        <v>45</v>
      </c>
      <c r="K5" s="4"/>
      <c r="L5" s="4"/>
      <c r="M5" s="4"/>
      <c r="N5" s="4"/>
      <c r="P5" s="3" t="s">
        <v>41</v>
      </c>
      <c r="Q5" s="3" t="s">
        <v>41</v>
      </c>
      <c r="R5" s="44" t="s">
        <v>36</v>
      </c>
      <c r="S5" s="45"/>
      <c r="T5" s="45"/>
      <c r="U5" s="45"/>
      <c r="V5" s="45"/>
      <c r="W5" s="45"/>
      <c r="X5" s="45"/>
      <c r="Y5" s="45"/>
      <c r="Z5" s="45"/>
      <c r="AA5" s="45"/>
      <c r="AB5" s="45"/>
      <c r="AC5" s="45"/>
    </row>
    <row r="6" spans="1:29" ht="45.75" thickBot="1" x14ac:dyDescent="0.3">
      <c r="B6" s="1" t="s">
        <v>4</v>
      </c>
      <c r="D6" s="1" t="s">
        <v>31</v>
      </c>
      <c r="E6" s="1" t="s">
        <v>32</v>
      </c>
      <c r="F6" s="1" t="s">
        <v>33</v>
      </c>
      <c r="G6" s="1" t="s">
        <v>34</v>
      </c>
      <c r="H6" s="1" t="s">
        <v>0</v>
      </c>
      <c r="J6" s="1" t="s">
        <v>31</v>
      </c>
      <c r="K6" s="1" t="s">
        <v>32</v>
      </c>
      <c r="L6" s="1" t="s">
        <v>33</v>
      </c>
      <c r="M6" s="1" t="s">
        <v>34</v>
      </c>
      <c r="N6" s="1" t="s">
        <v>0</v>
      </c>
      <c r="P6" s="1" t="s">
        <v>40</v>
      </c>
      <c r="Q6" s="1" t="s">
        <v>35</v>
      </c>
      <c r="R6" s="38">
        <v>1</v>
      </c>
      <c r="S6" s="38">
        <v>3</v>
      </c>
      <c r="T6" s="38">
        <v>5</v>
      </c>
      <c r="U6" s="38">
        <v>8</v>
      </c>
      <c r="V6" s="38">
        <v>10</v>
      </c>
      <c r="W6" s="38">
        <v>13</v>
      </c>
      <c r="X6" s="38">
        <v>16</v>
      </c>
      <c r="Y6" s="38">
        <v>20</v>
      </c>
      <c r="Z6" s="38">
        <v>25</v>
      </c>
      <c r="AA6" s="38">
        <v>30</v>
      </c>
      <c r="AB6" s="38">
        <v>35</v>
      </c>
      <c r="AC6" s="38">
        <v>40</v>
      </c>
    </row>
    <row r="7" spans="1:29" x14ac:dyDescent="0.25">
      <c r="B7" s="17"/>
      <c r="D7" s="18" t="s">
        <v>1</v>
      </c>
      <c r="E7" s="18" t="s">
        <v>1</v>
      </c>
      <c r="F7" s="18" t="s">
        <v>2</v>
      </c>
      <c r="G7" s="18" t="s">
        <v>2</v>
      </c>
      <c r="H7" s="18" t="s">
        <v>3</v>
      </c>
      <c r="J7" s="18" t="s">
        <v>1</v>
      </c>
      <c r="K7" s="18" t="s">
        <v>1</v>
      </c>
      <c r="L7" s="18" t="s">
        <v>2</v>
      </c>
      <c r="M7" s="18" t="s">
        <v>2</v>
      </c>
      <c r="N7" s="18" t="s">
        <v>3</v>
      </c>
      <c r="P7" s="42">
        <v>1</v>
      </c>
      <c r="Q7" s="39">
        <v>75</v>
      </c>
      <c r="R7" s="39"/>
      <c r="S7" s="39"/>
      <c r="T7" s="39"/>
      <c r="U7" s="39"/>
      <c r="V7" s="26">
        <v>4</v>
      </c>
      <c r="W7" s="26">
        <v>4</v>
      </c>
      <c r="X7" s="26">
        <v>4</v>
      </c>
      <c r="Y7" s="26">
        <v>4</v>
      </c>
      <c r="Z7" s="26">
        <v>4</v>
      </c>
      <c r="AA7" s="26">
        <v>4</v>
      </c>
      <c r="AB7" s="26">
        <v>4</v>
      </c>
      <c r="AC7" s="26">
        <v>4</v>
      </c>
    </row>
    <row r="8" spans="1:29" x14ac:dyDescent="0.25">
      <c r="B8" s="37">
        <v>4</v>
      </c>
      <c r="C8" s="24"/>
      <c r="D8" s="9">
        <v>2.914709217808007</v>
      </c>
      <c r="E8" s="9">
        <v>3.2233152459785779</v>
      </c>
      <c r="F8" s="9">
        <v>185.44553158315932</v>
      </c>
      <c r="G8" s="9">
        <v>205.080289175513</v>
      </c>
      <c r="H8" s="9">
        <v>1467.8506022660195</v>
      </c>
      <c r="I8" s="24"/>
      <c r="J8" s="9">
        <v>2.686976579014476</v>
      </c>
      <c r="K8" s="9">
        <v>2.8578546051187956</v>
      </c>
      <c r="L8" s="22">
        <v>170.95626452287181</v>
      </c>
      <c r="M8" s="22">
        <v>181.8282122949476</v>
      </c>
      <c r="N8" s="22">
        <v>612.91413316992509</v>
      </c>
      <c r="O8" s="21"/>
      <c r="P8" s="42">
        <v>2</v>
      </c>
      <c r="Q8" s="39">
        <v>50</v>
      </c>
      <c r="R8" s="39"/>
      <c r="S8" s="39"/>
      <c r="T8" s="39"/>
      <c r="U8" s="39"/>
      <c r="V8" s="26">
        <v>6</v>
      </c>
      <c r="W8" s="26">
        <v>4</v>
      </c>
      <c r="X8" s="26">
        <v>4</v>
      </c>
      <c r="Y8" s="26">
        <v>4</v>
      </c>
      <c r="Z8" s="26">
        <v>4</v>
      </c>
      <c r="AA8" s="26">
        <v>4</v>
      </c>
      <c r="AB8" s="26">
        <v>4</v>
      </c>
      <c r="AC8" s="26">
        <v>4</v>
      </c>
    </row>
    <row r="9" spans="1:29" x14ac:dyDescent="0.25">
      <c r="B9" s="37">
        <v>5</v>
      </c>
      <c r="C9" s="24"/>
      <c r="D9" s="9">
        <v>3.4199208779938783</v>
      </c>
      <c r="E9" s="9">
        <v>3.8056767035104966</v>
      </c>
      <c r="F9" s="9">
        <v>174.07130462746431</v>
      </c>
      <c r="G9" s="9">
        <v>193.70597519759508</v>
      </c>
      <c r="H9" s="9">
        <v>1834.805120848861</v>
      </c>
      <c r="I9" s="24"/>
      <c r="J9" s="9">
        <v>3.3613873970641746</v>
      </c>
      <c r="K9" s="9">
        <v>3.5749864076627338</v>
      </c>
      <c r="L9" s="22">
        <v>171.09199611322839</v>
      </c>
      <c r="M9" s="22">
        <v>181.96401911273045</v>
      </c>
      <c r="N9" s="22">
        <v>766.14794718636028</v>
      </c>
      <c r="O9" s="21"/>
      <c r="P9" s="42">
        <v>3</v>
      </c>
      <c r="Q9" s="39">
        <v>35</v>
      </c>
      <c r="R9" s="39"/>
      <c r="S9" s="39"/>
      <c r="T9" s="39"/>
      <c r="U9" s="39"/>
      <c r="V9" s="39"/>
      <c r="W9" s="26">
        <v>4</v>
      </c>
      <c r="X9" s="26">
        <v>4</v>
      </c>
      <c r="Y9" s="26">
        <v>4</v>
      </c>
      <c r="Z9" s="26">
        <v>4</v>
      </c>
      <c r="AA9" s="26">
        <v>4</v>
      </c>
      <c r="AB9" s="26">
        <v>4</v>
      </c>
      <c r="AC9" s="26">
        <v>4</v>
      </c>
    </row>
    <row r="10" spans="1:29" x14ac:dyDescent="0.25">
      <c r="B10" s="37">
        <v>6</v>
      </c>
      <c r="C10" s="24"/>
      <c r="D10" s="9">
        <v>3.9254764624463698</v>
      </c>
      <c r="E10" s="9">
        <v>4.3885097426549446</v>
      </c>
      <c r="F10" s="9">
        <v>166.5030745543821</v>
      </c>
      <c r="G10" s="9">
        <v>186.14310182579302</v>
      </c>
      <c r="H10" s="9">
        <v>2202.3668275452892</v>
      </c>
      <c r="I10" s="24"/>
      <c r="J10" s="9">
        <v>4.031019446867024</v>
      </c>
      <c r="K10" s="9">
        <v>4.2873393926942178</v>
      </c>
      <c r="L10" s="22">
        <v>170.97978752713865</v>
      </c>
      <c r="M10" s="22">
        <v>181.85185858860754</v>
      </c>
      <c r="N10" s="22">
        <v>919.38158517866179</v>
      </c>
      <c r="O10" s="21"/>
      <c r="P10" s="43"/>
      <c r="Q10" s="39">
        <v>25</v>
      </c>
      <c r="R10" s="39"/>
      <c r="S10" s="39"/>
      <c r="T10" s="39"/>
      <c r="U10" s="39"/>
      <c r="V10" s="39"/>
      <c r="W10" s="26">
        <v>4</v>
      </c>
      <c r="X10" s="26">
        <v>4</v>
      </c>
      <c r="Y10" s="26">
        <v>4</v>
      </c>
      <c r="Z10" s="26">
        <v>4</v>
      </c>
      <c r="AA10" s="26">
        <v>4</v>
      </c>
      <c r="AB10" s="26">
        <v>4</v>
      </c>
      <c r="AC10" s="26">
        <v>4</v>
      </c>
    </row>
    <row r="11" spans="1:29" ht="15.75" thickBot="1" x14ac:dyDescent="0.3">
      <c r="B11" s="37">
        <v>7</v>
      </c>
      <c r="C11" s="21"/>
      <c r="D11" s="9">
        <v>4.431390932224021</v>
      </c>
      <c r="E11" s="9">
        <v>4.9718247652795542</v>
      </c>
      <c r="F11" s="9">
        <v>161.11024377579835</v>
      </c>
      <c r="G11" s="9">
        <v>180.75857269101951</v>
      </c>
      <c r="H11" s="9">
        <v>2570.5140370655386</v>
      </c>
      <c r="I11" s="24"/>
      <c r="J11" s="9">
        <v>4.6906618553854864</v>
      </c>
      <c r="K11" s="9">
        <v>4.9897003224266516</v>
      </c>
      <c r="L11" s="22">
        <v>170.53644928855726</v>
      </c>
      <c r="M11" s="22">
        <v>181.40846691467169</v>
      </c>
      <c r="N11" s="22">
        <v>1072.6065979885068</v>
      </c>
      <c r="O11" s="21"/>
      <c r="P11" s="43"/>
      <c r="Q11" s="39">
        <v>10</v>
      </c>
      <c r="R11" s="39"/>
      <c r="S11" s="39"/>
      <c r="T11" s="39"/>
      <c r="U11" s="39"/>
      <c r="V11" s="39"/>
      <c r="W11" s="39"/>
      <c r="X11" s="26">
        <v>5</v>
      </c>
      <c r="Y11" s="26">
        <v>4</v>
      </c>
      <c r="Z11" s="26">
        <v>4</v>
      </c>
      <c r="AA11" s="26">
        <v>4</v>
      </c>
      <c r="AB11" s="26">
        <v>4</v>
      </c>
      <c r="AC11" s="26">
        <v>4</v>
      </c>
    </row>
    <row r="12" spans="1:29" ht="15.75" thickBot="1" x14ac:dyDescent="0.3">
      <c r="B12" s="37">
        <v>8</v>
      </c>
      <c r="C12" s="21"/>
      <c r="D12" s="9">
        <v>4.4962230255331637</v>
      </c>
      <c r="E12" s="9">
        <v>5.038055390405118</v>
      </c>
      <c r="F12" s="9">
        <v>163.46731732613148</v>
      </c>
      <c r="G12" s="9">
        <v>183.16649208305739</v>
      </c>
      <c r="H12" s="9">
        <v>2577.1659997027955</v>
      </c>
      <c r="I12" s="24"/>
      <c r="J12" s="9">
        <v>4.7695454936717683</v>
      </c>
      <c r="K12" s="9">
        <v>5.0685932719123494</v>
      </c>
      <c r="L12" s="22">
        <v>173.40438903673166</v>
      </c>
      <c r="M12" s="22">
        <v>184.27674518626472</v>
      </c>
      <c r="N12" s="22">
        <v>1072.6398665494157</v>
      </c>
      <c r="O12" s="21"/>
      <c r="P12" s="21"/>
      <c r="Q12" s="7" t="s">
        <v>27</v>
      </c>
      <c r="R12" s="41"/>
      <c r="S12" s="41"/>
      <c r="T12" s="41"/>
      <c r="U12" s="41"/>
    </row>
    <row r="13" spans="1:29" x14ac:dyDescent="0.25">
      <c r="B13" s="37">
        <v>9</v>
      </c>
      <c r="C13" s="21"/>
      <c r="D13" s="9">
        <v>4.4519246334819798</v>
      </c>
      <c r="E13" s="9">
        <v>4.9764485228285551</v>
      </c>
      <c r="F13" s="9">
        <v>167.85147456349171</v>
      </c>
      <c r="G13" s="9">
        <v>187.62766475513476</v>
      </c>
      <c r="H13" s="9">
        <v>2494.8401411483114</v>
      </c>
      <c r="I13" s="24"/>
      <c r="J13" s="9">
        <v>4.6774402307442173</v>
      </c>
      <c r="K13" s="9">
        <v>4.9658173203886733</v>
      </c>
      <c r="L13" s="22">
        <v>176.35411749972829</v>
      </c>
      <c r="M13" s="22">
        <v>187.2268351920068</v>
      </c>
      <c r="N13" s="22">
        <v>1034.3655617268753</v>
      </c>
      <c r="O13" s="21"/>
      <c r="P13" s="21"/>
      <c r="Q13" s="39">
        <v>75</v>
      </c>
      <c r="R13" s="40"/>
      <c r="S13" s="40"/>
      <c r="T13" s="40"/>
      <c r="U13" s="40"/>
      <c r="V13" s="26"/>
      <c r="W13" s="26"/>
      <c r="X13" s="26"/>
      <c r="Y13" s="26"/>
      <c r="Z13" s="26"/>
      <c r="AA13" s="26"/>
      <c r="AB13" s="26"/>
      <c r="AC13" s="26"/>
    </row>
    <row r="14" spans="1:29" x14ac:dyDescent="0.25">
      <c r="B14" s="37">
        <v>10</v>
      </c>
      <c r="C14" s="21"/>
      <c r="D14" s="9">
        <v>4.8477570435836617</v>
      </c>
      <c r="E14" s="9">
        <v>5.4307419596981843</v>
      </c>
      <c r="F14" s="9">
        <v>164.49803434996269</v>
      </c>
      <c r="G14" s="9">
        <v>184.28035262506006</v>
      </c>
      <c r="H14" s="9">
        <v>2772.9035796985008</v>
      </c>
      <c r="I14" s="24"/>
      <c r="J14" s="9">
        <v>5.198371564290647</v>
      </c>
      <c r="K14" s="9">
        <v>5.5187921511796878</v>
      </c>
      <c r="L14" s="22">
        <v>176.39537139724538</v>
      </c>
      <c r="M14" s="22">
        <v>187.26814332756976</v>
      </c>
      <c r="N14" s="22">
        <v>1149.3007795905817</v>
      </c>
      <c r="O14" s="21"/>
      <c r="P14" s="21"/>
      <c r="Q14" s="39">
        <v>50</v>
      </c>
      <c r="R14" s="39"/>
      <c r="S14" s="39"/>
      <c r="T14" s="39"/>
      <c r="U14" s="39"/>
      <c r="V14" s="26"/>
      <c r="W14" s="26"/>
      <c r="X14" s="26"/>
      <c r="Y14" s="26"/>
      <c r="Z14" s="26"/>
      <c r="AA14" s="26"/>
      <c r="AB14" s="26"/>
      <c r="AC14" s="26"/>
    </row>
    <row r="15" spans="1:29" x14ac:dyDescent="0.25">
      <c r="B15" s="37">
        <v>11</v>
      </c>
      <c r="C15" s="21"/>
      <c r="D15" s="9">
        <v>4.637425776096781</v>
      </c>
      <c r="E15" s="9">
        <v>5.1744302041903403</v>
      </c>
      <c r="F15" s="9">
        <v>171.66643934580796</v>
      </c>
      <c r="G15" s="9">
        <v>191.54506221432183</v>
      </c>
      <c r="H15" s="9">
        <v>2554.2024498658725</v>
      </c>
      <c r="I15" s="24"/>
      <c r="J15" s="9">
        <v>4.8996360893435673</v>
      </c>
      <c r="K15" s="9">
        <v>5.1933699538244156</v>
      </c>
      <c r="L15" s="22">
        <v>181.37283962219382</v>
      </c>
      <c r="M15" s="22">
        <v>192.24616656375241</v>
      </c>
      <c r="N15" s="22">
        <v>1053.5792846354752</v>
      </c>
      <c r="O15" s="21"/>
      <c r="P15" s="21"/>
      <c r="Q15" s="39">
        <v>35</v>
      </c>
      <c r="R15" s="39"/>
      <c r="S15" s="39"/>
      <c r="T15" s="39"/>
      <c r="U15" s="39"/>
      <c r="V15" s="26"/>
      <c r="W15" s="26"/>
      <c r="X15" s="26"/>
      <c r="Y15" s="26"/>
      <c r="Z15" s="26"/>
      <c r="AA15" s="26"/>
      <c r="AB15" s="26"/>
      <c r="AC15" s="26"/>
    </row>
    <row r="16" spans="1:29" x14ac:dyDescent="0.25">
      <c r="B16" s="37">
        <v>12</v>
      </c>
      <c r="C16" s="21"/>
      <c r="D16" s="9">
        <v>4.3168938957922354</v>
      </c>
      <c r="E16" s="9">
        <v>4.7889475352470763</v>
      </c>
      <c r="F16" s="9">
        <v>183.10544288081348</v>
      </c>
      <c r="G16" s="9">
        <v>203.12807785920131</v>
      </c>
      <c r="H16" s="9">
        <v>2245.2711733572323</v>
      </c>
      <c r="I16" s="24"/>
      <c r="J16" s="9">
        <v>4.4320661056147053</v>
      </c>
      <c r="K16" s="9">
        <v>4.6884323611109311</v>
      </c>
      <c r="L16" s="22">
        <v>187.99058923747072</v>
      </c>
      <c r="M16" s="22">
        <v>198.8646245706272</v>
      </c>
      <c r="N16" s="22">
        <v>919.54704786254717</v>
      </c>
      <c r="O16" s="21"/>
      <c r="P16" s="21"/>
      <c r="Q16" s="39">
        <v>25</v>
      </c>
      <c r="R16" s="39"/>
      <c r="S16" s="39"/>
      <c r="T16" s="39"/>
      <c r="U16" s="39"/>
      <c r="V16" s="26"/>
      <c r="W16" s="26"/>
      <c r="X16" s="26"/>
      <c r="Y16" s="26"/>
      <c r="Z16" s="26"/>
      <c r="AA16" s="26"/>
      <c r="AB16" s="26"/>
      <c r="AC16" s="26"/>
    </row>
    <row r="17" spans="2:29" ht="15.75" thickBot="1" x14ac:dyDescent="0.3">
      <c r="B17" s="37">
        <v>13</v>
      </c>
      <c r="C17" s="21"/>
      <c r="D17" s="9">
        <v>4.6021651654352391</v>
      </c>
      <c r="E17" s="9">
        <v>5.1135887124807509</v>
      </c>
      <c r="F17" s="9">
        <v>180.18970502037988</v>
      </c>
      <c r="G17" s="9">
        <v>200.21359698643278</v>
      </c>
      <c r="H17" s="9">
        <v>2432.5298050524743</v>
      </c>
      <c r="I17" s="24"/>
      <c r="J17" s="9">
        <v>4.8044353214638935</v>
      </c>
      <c r="K17" s="9">
        <v>5.0821678332830693</v>
      </c>
      <c r="L17" s="22">
        <v>188.10923820510044</v>
      </c>
      <c r="M17" s="22">
        <v>198.98336757253998</v>
      </c>
      <c r="N17" s="22">
        <v>996.18454969418428</v>
      </c>
      <c r="O17" s="21"/>
      <c r="P17" s="21"/>
      <c r="Q17" s="39">
        <v>10</v>
      </c>
      <c r="R17" s="39"/>
      <c r="S17" s="39"/>
      <c r="T17" s="39"/>
      <c r="U17" s="39"/>
      <c r="V17" s="26"/>
      <c r="W17" s="26"/>
      <c r="X17" s="26"/>
      <c r="Y17" s="26"/>
      <c r="Z17" s="26"/>
      <c r="AA17" s="26"/>
      <c r="AB17" s="26"/>
      <c r="AC17" s="26"/>
    </row>
    <row r="18" spans="2:29" ht="15.75" thickBot="1" x14ac:dyDescent="0.3">
      <c r="B18" s="37">
        <v>14</v>
      </c>
      <c r="C18" s="21"/>
      <c r="D18" s="9">
        <v>4.8876388100151198</v>
      </c>
      <c r="E18" s="9">
        <v>5.438491534133334</v>
      </c>
      <c r="F18" s="9">
        <v>177.69785880172506</v>
      </c>
      <c r="G18" s="9">
        <v>197.72498302177382</v>
      </c>
      <c r="H18" s="9">
        <v>2620.0703455147345</v>
      </c>
      <c r="I18" s="24"/>
      <c r="J18" s="9">
        <v>5.1722026587822558</v>
      </c>
      <c r="K18" s="9">
        <v>5.471299209972134</v>
      </c>
      <c r="L18" s="22">
        <v>188.04362872946274</v>
      </c>
      <c r="M18" s="22">
        <v>198.91775809690213</v>
      </c>
      <c r="N18" s="22">
        <v>1072.8141304398912</v>
      </c>
      <c r="O18" s="21"/>
      <c r="P18" s="21"/>
      <c r="Q18" s="7" t="s">
        <v>30</v>
      </c>
      <c r="R18" s="41"/>
      <c r="S18" s="41"/>
      <c r="T18" s="41"/>
      <c r="U18" s="41"/>
    </row>
    <row r="19" spans="2:29" x14ac:dyDescent="0.25">
      <c r="B19" s="37">
        <v>15</v>
      </c>
      <c r="C19" s="21"/>
      <c r="D19" s="9">
        <v>4.5123083937286346</v>
      </c>
      <c r="E19" s="9">
        <v>4.9887958463585989</v>
      </c>
      <c r="F19" s="9">
        <v>191.39414745723428</v>
      </c>
      <c r="G19" s="9">
        <v>211.60484712858877</v>
      </c>
      <c r="H19" s="9">
        <v>2266.3601176595394</v>
      </c>
      <c r="I19" s="24"/>
      <c r="J19" s="9">
        <v>4.6469688211201579</v>
      </c>
      <c r="K19" s="9">
        <v>4.9033607439967763</v>
      </c>
      <c r="L19" s="22">
        <v>197.10590637261515</v>
      </c>
      <c r="M19" s="22">
        <v>207.98103041380287</v>
      </c>
      <c r="N19" s="22">
        <v>919.63875643521146</v>
      </c>
      <c r="O19" s="21"/>
      <c r="P19" s="21"/>
      <c r="Q19" s="39">
        <v>75</v>
      </c>
      <c r="R19" s="40"/>
      <c r="S19" s="40"/>
      <c r="T19" s="40"/>
      <c r="U19" s="40"/>
      <c r="V19" s="26"/>
      <c r="W19" s="26"/>
      <c r="X19" s="26"/>
      <c r="Y19" s="26"/>
      <c r="Z19" s="26"/>
      <c r="AA19" s="26"/>
      <c r="AB19" s="26"/>
      <c r="AC19" s="26"/>
    </row>
    <row r="20" spans="2:29" x14ac:dyDescent="0.25">
      <c r="B20" s="37">
        <v>16</v>
      </c>
      <c r="C20" s="21"/>
      <c r="D20" s="9">
        <v>4.7543611821698688</v>
      </c>
      <c r="E20" s="9">
        <v>5.2628494912673798</v>
      </c>
      <c r="F20" s="9">
        <v>189.05724612661547</v>
      </c>
      <c r="G20" s="9">
        <v>209.27729162212401</v>
      </c>
      <c r="H20" s="9">
        <v>2418.5686688578726</v>
      </c>
      <c r="I20" s="24"/>
      <c r="J20" s="9">
        <v>4.9564907483061011</v>
      </c>
      <c r="K20" s="9">
        <v>5.2299767502312768</v>
      </c>
      <c r="L20" s="22">
        <v>197.09493145809526</v>
      </c>
      <c r="M20" s="22">
        <v>207.97010656512285</v>
      </c>
      <c r="N20" s="22">
        <v>980.95259522659319</v>
      </c>
      <c r="O20" s="21"/>
      <c r="P20" s="21"/>
      <c r="Q20" s="39">
        <v>50</v>
      </c>
      <c r="R20" s="39"/>
      <c r="S20" s="39"/>
      <c r="T20" s="39"/>
      <c r="U20" s="39"/>
      <c r="V20" s="26"/>
      <c r="W20" s="26"/>
      <c r="X20" s="26"/>
      <c r="Y20" s="26"/>
      <c r="Z20" s="26"/>
      <c r="AA20" s="26"/>
      <c r="AB20" s="26"/>
      <c r="AC20" s="26"/>
    </row>
    <row r="21" spans="2:29" x14ac:dyDescent="0.25">
      <c r="B21" s="37">
        <v>17</v>
      </c>
      <c r="C21" s="21"/>
      <c r="D21" s="9">
        <v>4.9954443350514479</v>
      </c>
      <c r="E21" s="9">
        <v>5.5356861645087916</v>
      </c>
      <c r="F21" s="9">
        <v>186.95898488377375</v>
      </c>
      <c r="G21" s="9">
        <v>207.17801991903403</v>
      </c>
      <c r="H21" s="9">
        <v>2569.6007930861269</v>
      </c>
      <c r="I21" s="24"/>
      <c r="J21" s="9">
        <v>5.262276439666639</v>
      </c>
      <c r="K21" s="9">
        <v>5.5528545007505468</v>
      </c>
      <c r="L21" s="22">
        <v>196.94541573302135</v>
      </c>
      <c r="M21" s="22">
        <v>207.82056030195449</v>
      </c>
      <c r="N21" s="22">
        <v>1042.2592170285734</v>
      </c>
      <c r="O21" s="21"/>
      <c r="P21" s="21"/>
      <c r="Q21" s="39">
        <v>35</v>
      </c>
      <c r="R21" s="39"/>
      <c r="S21" s="39"/>
      <c r="T21" s="39"/>
      <c r="U21" s="39"/>
      <c r="V21" s="26"/>
      <c r="W21" s="26"/>
      <c r="X21" s="26"/>
      <c r="Y21" s="26"/>
      <c r="Z21" s="26"/>
      <c r="AA21" s="26"/>
      <c r="AB21" s="26"/>
      <c r="AC21" s="26"/>
    </row>
    <row r="22" spans="2:29" x14ac:dyDescent="0.25">
      <c r="B22" s="37">
        <v>18</v>
      </c>
      <c r="C22" s="21"/>
      <c r="D22" s="9">
        <v>4.641927944312509</v>
      </c>
      <c r="E22" s="9">
        <v>5.1115465876286033</v>
      </c>
      <c r="F22" s="9">
        <v>201.94060764981649</v>
      </c>
      <c r="G22" s="9">
        <v>222.37071241073386</v>
      </c>
      <c r="H22" s="9">
        <v>2233.6893822627426</v>
      </c>
      <c r="I22" s="24"/>
      <c r="J22" s="9">
        <v>4.7687482643459065</v>
      </c>
      <c r="K22" s="9">
        <v>5.0187570960352721</v>
      </c>
      <c r="L22" s="22">
        <v>207.45774897495644</v>
      </c>
      <c r="M22" s="22">
        <v>218.33403486195084</v>
      </c>
      <c r="N22" s="22">
        <v>896.74321020617469</v>
      </c>
      <c r="O22" s="21"/>
      <c r="P22" s="21"/>
      <c r="Q22" s="39">
        <v>25</v>
      </c>
      <c r="R22" s="39"/>
      <c r="S22" s="39"/>
      <c r="T22" s="39"/>
      <c r="U22" s="39"/>
      <c r="V22" s="26"/>
      <c r="W22" s="26"/>
      <c r="X22" s="26"/>
      <c r="Y22" s="26"/>
      <c r="Z22" s="26"/>
      <c r="AA22" s="26"/>
      <c r="AB22" s="26"/>
      <c r="AC22" s="26"/>
    </row>
    <row r="23" spans="2:29" x14ac:dyDescent="0.25">
      <c r="B23" s="37">
        <v>19</v>
      </c>
      <c r="C23" s="21"/>
      <c r="D23" s="9">
        <v>4.8503084288416662</v>
      </c>
      <c r="E23" s="9">
        <v>5.3460731634857526</v>
      </c>
      <c r="F23" s="9">
        <v>199.90033606810115</v>
      </c>
      <c r="G23" s="9">
        <v>220.33275568017382</v>
      </c>
      <c r="H23" s="9">
        <v>2358.0503875554905</v>
      </c>
      <c r="I23" s="24"/>
      <c r="J23" s="9">
        <v>5.0278878595385921</v>
      </c>
      <c r="K23" s="9">
        <v>5.2917853564149775</v>
      </c>
      <c r="L23" s="22">
        <v>207.2190846375762</v>
      </c>
      <c r="M23" s="22">
        <v>218.09534108333759</v>
      </c>
      <c r="N23" s="22">
        <v>946.55972508994046</v>
      </c>
      <c r="O23" s="21"/>
      <c r="P23" s="21"/>
      <c r="Q23" s="39">
        <v>10</v>
      </c>
      <c r="R23" s="39"/>
      <c r="S23" s="39"/>
      <c r="T23" s="39"/>
      <c r="U23" s="39"/>
      <c r="V23" s="26"/>
      <c r="W23" s="26"/>
      <c r="X23" s="26"/>
      <c r="Y23" s="26"/>
      <c r="Z23" s="26"/>
      <c r="AA23" s="26"/>
      <c r="AB23" s="26"/>
      <c r="AC23" s="26"/>
    </row>
    <row r="24" spans="2:29" x14ac:dyDescent="0.25">
      <c r="B24" s="37">
        <v>20</v>
      </c>
      <c r="C24" s="21"/>
      <c r="D24" s="9">
        <v>5.0595946941285348</v>
      </c>
      <c r="E24" s="9">
        <v>5.5817437378264723</v>
      </c>
      <c r="F24" s="9">
        <v>198.09955590141868</v>
      </c>
      <c r="G24" s="9">
        <v>218.54338587676179</v>
      </c>
      <c r="H24" s="9">
        <v>2483.5444492387733</v>
      </c>
      <c r="I24" s="24"/>
      <c r="J24" s="9">
        <v>5.2937583915896855</v>
      </c>
      <c r="K24" s="9">
        <v>5.5715480515110709</v>
      </c>
      <c r="L24" s="22">
        <v>207.26782476080365</v>
      </c>
      <c r="M24" s="22">
        <v>218.14419166194946</v>
      </c>
      <c r="N24" s="22">
        <v>996.38873768706333</v>
      </c>
      <c r="O24" s="21"/>
    </row>
    <row r="25" spans="2:29" x14ac:dyDescent="0.25">
      <c r="B25" s="37">
        <v>21</v>
      </c>
      <c r="C25" s="21"/>
      <c r="D25" s="9">
        <v>5.2680841034723862</v>
      </c>
      <c r="E25" s="9">
        <v>5.8164134324302585</v>
      </c>
      <c r="F25" s="9">
        <v>196.44056480128484</v>
      </c>
      <c r="G25" s="9">
        <v>216.88711063501509</v>
      </c>
      <c r="H25" s="9">
        <v>2608.0680942048034</v>
      </c>
      <c r="I25" s="24"/>
      <c r="J25" s="9">
        <v>5.554073242654483</v>
      </c>
      <c r="K25" s="9">
        <v>5.8457518633565249</v>
      </c>
      <c r="L25" s="22">
        <v>207.10475825843446</v>
      </c>
      <c r="M25" s="22">
        <v>217.98110568679121</v>
      </c>
      <c r="N25" s="22">
        <v>1046.2063087156193</v>
      </c>
      <c r="O25" s="21"/>
      <c r="R25" s="52" t="s">
        <v>37</v>
      </c>
      <c r="S25" s="53"/>
      <c r="T25" s="54"/>
      <c r="U25" s="29"/>
    </row>
    <row r="26" spans="2:29" x14ac:dyDescent="0.25">
      <c r="B26" s="37">
        <v>22</v>
      </c>
      <c r="C26" s="21"/>
      <c r="D26" s="9">
        <v>4.7488686132380433</v>
      </c>
      <c r="E26" s="9">
        <v>5.1980053253548988</v>
      </c>
      <c r="F26" s="9">
        <v>219.73973415316675</v>
      </c>
      <c r="G26" s="9">
        <v>240.52219619978266</v>
      </c>
      <c r="H26" s="9">
        <v>2136.2693311231242</v>
      </c>
      <c r="I26" s="24"/>
      <c r="J26" s="9">
        <v>4.8126672594807083</v>
      </c>
      <c r="K26" s="9">
        <v>5.0477584000238993</v>
      </c>
      <c r="L26" s="22">
        <v>222.6918262631938</v>
      </c>
      <c r="M26" s="22">
        <v>233.56996776003797</v>
      </c>
      <c r="N26" s="22">
        <v>843.23519067472523</v>
      </c>
      <c r="O26" s="21"/>
      <c r="Q26" s="39" t="s">
        <v>38</v>
      </c>
      <c r="R26" s="39">
        <f>R6</f>
        <v>1</v>
      </c>
      <c r="S26" s="39">
        <f>S6</f>
        <v>3</v>
      </c>
      <c r="T26" s="39">
        <f>T6</f>
        <v>5</v>
      </c>
      <c r="U26" s="39">
        <f t="shared" ref="U26:AA31" si="0">U6</f>
        <v>8</v>
      </c>
      <c r="V26" s="39">
        <f t="shared" si="0"/>
        <v>10</v>
      </c>
      <c r="W26" s="39">
        <f t="shared" si="0"/>
        <v>13</v>
      </c>
      <c r="X26" s="39">
        <f t="shared" si="0"/>
        <v>16</v>
      </c>
      <c r="Y26" s="39">
        <f t="shared" si="0"/>
        <v>20</v>
      </c>
      <c r="Z26" s="39">
        <f t="shared" si="0"/>
        <v>25</v>
      </c>
      <c r="AA26" s="39">
        <f t="shared" si="0"/>
        <v>30</v>
      </c>
    </row>
    <row r="27" spans="2:29" x14ac:dyDescent="0.25">
      <c r="B27" s="37">
        <v>23</v>
      </c>
      <c r="C27" s="21"/>
      <c r="D27" s="9">
        <v>4.9239971168146193</v>
      </c>
      <c r="E27" s="9">
        <v>5.3935334359043985</v>
      </c>
      <c r="F27" s="9">
        <v>217.93705371605046</v>
      </c>
      <c r="G27" s="9">
        <v>238.71882096072827</v>
      </c>
      <c r="H27" s="9">
        <v>2233.2978161423512</v>
      </c>
      <c r="I27" s="24"/>
      <c r="J27" s="9">
        <v>5.0266226809855503</v>
      </c>
      <c r="K27" s="9">
        <v>5.2723988956816266</v>
      </c>
      <c r="L27" s="22">
        <v>222.47928080529559</v>
      </c>
      <c r="M27" s="22">
        <v>233.35738305304776</v>
      </c>
      <c r="N27" s="22">
        <v>881.5608945437499</v>
      </c>
      <c r="O27" s="21"/>
      <c r="Q27" s="39">
        <v>75</v>
      </c>
      <c r="R27" s="39">
        <f>R7</f>
        <v>0</v>
      </c>
      <c r="S27" s="39">
        <f t="shared" ref="S27:T27" si="1">S7</f>
        <v>0</v>
      </c>
      <c r="T27" s="39">
        <f t="shared" si="1"/>
        <v>0</v>
      </c>
      <c r="U27" s="39">
        <f t="shared" si="0"/>
        <v>0</v>
      </c>
      <c r="V27" s="39">
        <f t="shared" si="0"/>
        <v>4</v>
      </c>
      <c r="W27" s="39">
        <f t="shared" si="0"/>
        <v>4</v>
      </c>
      <c r="X27" s="39">
        <f t="shared" si="0"/>
        <v>4</v>
      </c>
      <c r="Y27" s="39">
        <f t="shared" si="0"/>
        <v>4</v>
      </c>
      <c r="Z27" s="39">
        <f t="shared" si="0"/>
        <v>4</v>
      </c>
      <c r="AA27" s="39">
        <f t="shared" si="0"/>
        <v>4</v>
      </c>
    </row>
    <row r="28" spans="2:29" x14ac:dyDescent="0.25">
      <c r="B28" s="37">
        <v>24</v>
      </c>
      <c r="C28" s="21"/>
      <c r="D28" s="9">
        <v>5.0996799036798874</v>
      </c>
      <c r="E28" s="9">
        <v>5.5897617238522033</v>
      </c>
      <c r="F28" s="9">
        <v>216.30810713783438</v>
      </c>
      <c r="G28" s="9">
        <v>237.09542572770178</v>
      </c>
      <c r="H28" s="9">
        <v>2331.0202304342474</v>
      </c>
      <c r="I28" s="24"/>
      <c r="J28" s="9">
        <v>5.247462793137597</v>
      </c>
      <c r="K28" s="9">
        <v>5.5039269886572706</v>
      </c>
      <c r="L28" s="22">
        <v>222.57646862124631</v>
      </c>
      <c r="M28" s="22">
        <v>233.45465818005715</v>
      </c>
      <c r="N28" s="22">
        <v>919.89698383654911</v>
      </c>
      <c r="O28" s="21"/>
      <c r="Q28" s="39">
        <v>50</v>
      </c>
      <c r="R28" s="39">
        <f t="shared" ref="R28:T31" si="2">R8</f>
        <v>0</v>
      </c>
      <c r="S28" s="39">
        <f t="shared" si="2"/>
        <v>0</v>
      </c>
      <c r="T28" s="39">
        <f t="shared" si="2"/>
        <v>0</v>
      </c>
      <c r="U28" s="39">
        <f t="shared" si="0"/>
        <v>0</v>
      </c>
      <c r="V28" s="39">
        <f t="shared" si="0"/>
        <v>6</v>
      </c>
      <c r="W28" s="39">
        <f t="shared" si="0"/>
        <v>4</v>
      </c>
      <c r="X28" s="39">
        <f t="shared" si="0"/>
        <v>4</v>
      </c>
      <c r="Y28" s="39">
        <f t="shared" si="0"/>
        <v>4</v>
      </c>
      <c r="Z28" s="39">
        <f t="shared" si="0"/>
        <v>4</v>
      </c>
      <c r="AA28" s="39">
        <f t="shared" si="0"/>
        <v>4</v>
      </c>
    </row>
    <row r="29" spans="2:29" x14ac:dyDescent="0.25">
      <c r="B29" s="37">
        <v>25</v>
      </c>
      <c r="C29" s="21"/>
      <c r="D29" s="9">
        <v>5.2746749490868226</v>
      </c>
      <c r="E29" s="9">
        <v>5.7851256016933137</v>
      </c>
      <c r="F29" s="9">
        <v>214.78147188292709</v>
      </c>
      <c r="G29" s="9">
        <v>235.5667038732706</v>
      </c>
      <c r="H29" s="9">
        <v>2427.9023397475203</v>
      </c>
      <c r="I29" s="24"/>
      <c r="J29" s="9">
        <v>5.4693657033742431</v>
      </c>
      <c r="K29" s="9">
        <v>5.7365159583589085</v>
      </c>
      <c r="L29" s="22">
        <v>222.70915788660946</v>
      </c>
      <c r="M29" s="22">
        <v>233.58734953507101</v>
      </c>
      <c r="N29" s="22">
        <v>958.22620818820917</v>
      </c>
      <c r="O29" s="21"/>
      <c r="Q29" s="39">
        <v>35</v>
      </c>
      <c r="R29" s="39">
        <f t="shared" si="2"/>
        <v>0</v>
      </c>
      <c r="S29" s="39">
        <f t="shared" si="2"/>
        <v>0</v>
      </c>
      <c r="T29" s="39">
        <f t="shared" si="2"/>
        <v>0</v>
      </c>
      <c r="U29" s="39">
        <f t="shared" si="0"/>
        <v>0</v>
      </c>
      <c r="V29" s="39">
        <f t="shared" si="0"/>
        <v>0</v>
      </c>
      <c r="W29" s="39">
        <f t="shared" si="0"/>
        <v>4</v>
      </c>
      <c r="X29" s="39">
        <f t="shared" si="0"/>
        <v>4</v>
      </c>
      <c r="Y29" s="39">
        <f t="shared" si="0"/>
        <v>4</v>
      </c>
      <c r="Z29" s="39">
        <f t="shared" si="0"/>
        <v>4</v>
      </c>
      <c r="AA29" s="39">
        <f t="shared" si="0"/>
        <v>4</v>
      </c>
    </row>
    <row r="30" spans="2:29" x14ac:dyDescent="0.25">
      <c r="B30" s="37">
        <v>26</v>
      </c>
      <c r="C30" s="21"/>
      <c r="D30" s="9">
        <v>5.451010890482249</v>
      </c>
      <c r="E30" s="9">
        <v>5.9821802934264516</v>
      </c>
      <c r="F30" s="9">
        <v>213.42477053971265</v>
      </c>
      <c r="G30" s="9">
        <v>234.22177685995749</v>
      </c>
      <c r="H30" s="9">
        <v>2526.4487950507173</v>
      </c>
      <c r="I30" s="24"/>
      <c r="J30" s="9">
        <v>5.6800054087359175</v>
      </c>
      <c r="K30" s="9">
        <v>5.9578417231855756</v>
      </c>
      <c r="L30" s="22">
        <v>222.39064925378318</v>
      </c>
      <c r="M30" s="22">
        <v>233.26884283115314</v>
      </c>
      <c r="N30" s="22">
        <v>996.55543253986923</v>
      </c>
      <c r="O30" s="21"/>
      <c r="Q30" s="39">
        <v>25</v>
      </c>
      <c r="R30" s="39">
        <f t="shared" si="2"/>
        <v>0</v>
      </c>
      <c r="S30" s="39">
        <f t="shared" si="2"/>
        <v>0</v>
      </c>
      <c r="T30" s="39">
        <f t="shared" si="2"/>
        <v>0</v>
      </c>
      <c r="U30" s="39">
        <f t="shared" si="0"/>
        <v>0</v>
      </c>
      <c r="V30" s="39">
        <f t="shared" si="0"/>
        <v>0</v>
      </c>
      <c r="W30" s="39">
        <f t="shared" si="0"/>
        <v>4</v>
      </c>
      <c r="X30" s="39">
        <f t="shared" si="0"/>
        <v>4</v>
      </c>
      <c r="Y30" s="39">
        <f t="shared" si="0"/>
        <v>4</v>
      </c>
      <c r="Z30" s="39">
        <f t="shared" si="0"/>
        <v>4</v>
      </c>
      <c r="AA30" s="39">
        <f t="shared" si="0"/>
        <v>4</v>
      </c>
    </row>
    <row r="31" spans="2:29" x14ac:dyDescent="0.25">
      <c r="B31" s="37">
        <v>27</v>
      </c>
      <c r="C31" s="21"/>
      <c r="D31" s="9">
        <v>5.6255535073786831</v>
      </c>
      <c r="E31" s="9">
        <v>6.1769777629839178</v>
      </c>
      <c r="F31" s="9">
        <v>212.10095165308391</v>
      </c>
      <c r="G31" s="9">
        <v>232.89136973817682</v>
      </c>
      <c r="H31" s="9">
        <v>2622.7887721197148</v>
      </c>
      <c r="I31" s="24"/>
      <c r="J31" s="9">
        <v>5.9069798708815462</v>
      </c>
      <c r="K31" s="9">
        <v>6.1955044617484401</v>
      </c>
      <c r="L31" s="22">
        <v>222.71160524315843</v>
      </c>
      <c r="M31" s="22">
        <v>233.58988419258401</v>
      </c>
      <c r="N31" s="22">
        <v>1034.8925779774604</v>
      </c>
      <c r="O31" s="21"/>
      <c r="Q31" s="39">
        <v>10</v>
      </c>
      <c r="R31" s="39">
        <f t="shared" si="2"/>
        <v>0</v>
      </c>
      <c r="S31" s="39">
        <f t="shared" si="2"/>
        <v>0</v>
      </c>
      <c r="T31" s="39">
        <f t="shared" si="2"/>
        <v>0</v>
      </c>
      <c r="U31" s="39">
        <f t="shared" si="0"/>
        <v>0</v>
      </c>
      <c r="V31" s="39">
        <f t="shared" si="0"/>
        <v>0</v>
      </c>
      <c r="W31" s="39">
        <f t="shared" si="0"/>
        <v>0</v>
      </c>
      <c r="X31" s="39">
        <f t="shared" si="0"/>
        <v>5</v>
      </c>
      <c r="Y31" s="39">
        <f t="shared" si="0"/>
        <v>4</v>
      </c>
      <c r="Z31" s="39">
        <f t="shared" si="0"/>
        <v>4</v>
      </c>
      <c r="AA31" s="39">
        <f t="shared" si="0"/>
        <v>4</v>
      </c>
    </row>
    <row r="32" spans="2:29" x14ac:dyDescent="0.25">
      <c r="B32" s="37">
        <v>28</v>
      </c>
      <c r="C32" s="21"/>
      <c r="D32" s="9">
        <v>5.1836109381129267</v>
      </c>
      <c r="E32" s="9">
        <v>5.6491621361492612</v>
      </c>
      <c r="F32" s="9">
        <v>235.57299351693999</v>
      </c>
      <c r="G32" s="9">
        <v>256.73030849797954</v>
      </c>
      <c r="H32" s="9">
        <v>2214.3430265257171</v>
      </c>
      <c r="I32" s="24"/>
      <c r="J32" s="9">
        <v>5.2819988622836123</v>
      </c>
      <c r="K32" s="9">
        <v>5.5214068640052512</v>
      </c>
      <c r="L32" s="22">
        <v>240.04430475142934</v>
      </c>
      <c r="M32" s="22">
        <v>250.92437663776704</v>
      </c>
      <c r="N32" s="22">
        <v>858.71850760251505</v>
      </c>
      <c r="O32" s="21"/>
      <c r="U32" s="29"/>
    </row>
    <row r="33" spans="2:21" x14ac:dyDescent="0.25">
      <c r="B33" s="37">
        <v>29</v>
      </c>
      <c r="C33" s="21"/>
      <c r="D33" s="9">
        <v>5.3370336135012142</v>
      </c>
      <c r="E33" s="9">
        <v>5.8192765270954157</v>
      </c>
      <c r="F33" s="9">
        <v>234.18176484744478</v>
      </c>
      <c r="G33" s="9">
        <v>255.34192698413733</v>
      </c>
      <c r="H33" s="9">
        <v>2293.7353341864118</v>
      </c>
      <c r="I33" s="24"/>
      <c r="J33" s="9">
        <v>5.4737633292017476</v>
      </c>
      <c r="K33" s="9">
        <v>5.7217242084218976</v>
      </c>
      <c r="L33" s="22">
        <v>240.18127851901684</v>
      </c>
      <c r="M33" s="22">
        <v>251.06146412661786</v>
      </c>
      <c r="N33" s="22">
        <v>889.39628585782248</v>
      </c>
      <c r="O33" s="21"/>
      <c r="Q33" s="29"/>
      <c r="R33" s="29"/>
      <c r="S33" s="29"/>
      <c r="T33" s="29"/>
      <c r="U33" s="29"/>
    </row>
    <row r="34" spans="2:21" x14ac:dyDescent="0.25">
      <c r="B34" s="37">
        <v>30</v>
      </c>
      <c r="C34" s="21"/>
      <c r="D34" s="9">
        <v>5.4910967710374328</v>
      </c>
      <c r="E34" s="9">
        <v>5.9901989504560103</v>
      </c>
      <c r="F34" s="9">
        <v>232.91045145729578</v>
      </c>
      <c r="G34" s="9">
        <v>254.0803777541399</v>
      </c>
      <c r="H34" s="9">
        <v>2373.9245762461919</v>
      </c>
      <c r="I34" s="24"/>
      <c r="J34" s="9">
        <v>5.655972052039985</v>
      </c>
      <c r="K34" s="9">
        <v>5.9124829020879321</v>
      </c>
      <c r="L34" s="22">
        <v>239.90380410316396</v>
      </c>
      <c r="M34" s="22">
        <v>250.78397256121772</v>
      </c>
      <c r="N34" s="22">
        <v>920.06367868935627</v>
      </c>
      <c r="O34" s="21"/>
      <c r="R34" s="52" t="s">
        <v>39</v>
      </c>
      <c r="S34" s="53"/>
      <c r="T34" s="54"/>
      <c r="U34" s="29"/>
    </row>
    <row r="35" spans="2:21" x14ac:dyDescent="0.25">
      <c r="B35" s="37">
        <v>31</v>
      </c>
      <c r="C35" s="21"/>
      <c r="D35" s="9">
        <v>5.64409282812729</v>
      </c>
      <c r="E35" s="9">
        <v>6.1597784423192534</v>
      </c>
      <c r="F35" s="9">
        <v>231.67735620504502</v>
      </c>
      <c r="G35" s="9">
        <v>252.84509447001079</v>
      </c>
      <c r="H35" s="9">
        <v>2452.8018582748268</v>
      </c>
      <c r="I35" s="24"/>
      <c r="J35" s="9">
        <v>5.8518406956548841</v>
      </c>
      <c r="K35" s="9">
        <v>6.1169032408268134</v>
      </c>
      <c r="L35" s="22">
        <v>240.20494038405977</v>
      </c>
      <c r="M35" s="22">
        <v>251.08516357748098</v>
      </c>
      <c r="N35" s="22">
        <v>950.73723236550143</v>
      </c>
      <c r="O35" s="21"/>
      <c r="Q35" s="39" t="s">
        <v>38</v>
      </c>
      <c r="R35" s="42">
        <v>1</v>
      </c>
      <c r="S35" s="42">
        <v>2</v>
      </c>
      <c r="T35" s="42">
        <v>3</v>
      </c>
    </row>
    <row r="36" spans="2:21" x14ac:dyDescent="0.25">
      <c r="B36" s="37">
        <v>32</v>
      </c>
      <c r="C36" s="21"/>
      <c r="D36" s="9">
        <v>5.7978614710423804</v>
      </c>
      <c r="E36" s="9">
        <v>6.3303322642061772</v>
      </c>
      <c r="F36" s="9">
        <v>230.55205129337955</v>
      </c>
      <c r="G36" s="9">
        <v>251.72576063963874</v>
      </c>
      <c r="H36" s="9">
        <v>2532.6387143758261</v>
      </c>
      <c r="I36" s="24"/>
      <c r="J36" s="9">
        <v>6.0381727765058359</v>
      </c>
      <c r="K36" s="9">
        <v>6.3117872631297729</v>
      </c>
      <c r="L36" s="22">
        <v>240.10803408122436</v>
      </c>
      <c r="M36" s="22">
        <v>250.98831838429035</v>
      </c>
      <c r="N36" s="22">
        <v>981.41166616230635</v>
      </c>
      <c r="O36" s="21"/>
      <c r="Q36" s="39">
        <v>75</v>
      </c>
      <c r="R36" s="39">
        <f>R7</f>
        <v>0</v>
      </c>
      <c r="S36" s="39">
        <f>R13</f>
        <v>0</v>
      </c>
      <c r="T36" s="39">
        <f>R19</f>
        <v>0</v>
      </c>
    </row>
    <row r="37" spans="2:21" x14ac:dyDescent="0.25">
      <c r="B37" s="37">
        <v>33</v>
      </c>
      <c r="C37" s="21"/>
      <c r="D37" s="9">
        <v>5.9515292299738451</v>
      </c>
      <c r="E37" s="9">
        <v>6.5007601265593902</v>
      </c>
      <c r="F37" s="9">
        <v>229.4910565914652</v>
      </c>
      <c r="G37" s="9">
        <v>250.66940822171475</v>
      </c>
      <c r="H37" s="9">
        <v>2612.3563013830881</v>
      </c>
      <c r="I37" s="24"/>
      <c r="J37" s="9">
        <v>6.2253409066151768</v>
      </c>
      <c r="K37" s="9">
        <v>6.5075063001134135</v>
      </c>
      <c r="L37" s="22">
        <v>240.0492389596254</v>
      </c>
      <c r="M37" s="22">
        <v>250.92954077538937</v>
      </c>
      <c r="N37" s="22">
        <v>1012.0824034523447</v>
      </c>
      <c r="O37" s="21"/>
      <c r="Q37" s="39">
        <v>50</v>
      </c>
      <c r="R37" s="39">
        <f t="shared" ref="R37:R40" si="3">R8</f>
        <v>0</v>
      </c>
      <c r="S37" s="39">
        <f t="shared" ref="S37:S40" si="4">R14</f>
        <v>0</v>
      </c>
      <c r="T37" s="39">
        <f t="shared" ref="T37:T40" si="5">R20</f>
        <v>0</v>
      </c>
    </row>
    <row r="38" spans="2:21" x14ac:dyDescent="0.25">
      <c r="B38" s="37">
        <v>34</v>
      </c>
      <c r="D38" s="9">
        <v>4.9773249975471447</v>
      </c>
      <c r="E38" s="9">
        <v>5.348777840005523</v>
      </c>
      <c r="F38" s="9">
        <v>298.04936388096894</v>
      </c>
      <c r="G38" s="9">
        <v>320.29249316448096</v>
      </c>
      <c r="H38" s="9">
        <v>1766.7745563757928</v>
      </c>
      <c r="I38" s="24"/>
      <c r="J38" s="9">
        <v>4.8888790705727674</v>
      </c>
      <c r="K38" s="9">
        <v>5.0706668712559964</v>
      </c>
      <c r="L38" s="22">
        <v>292.75309484377192</v>
      </c>
      <c r="M38" s="22">
        <v>303.6388092348671</v>
      </c>
      <c r="N38" s="22">
        <v>652.04268310405246</v>
      </c>
      <c r="Q38" s="39">
        <v>35</v>
      </c>
      <c r="R38" s="39">
        <f t="shared" si="3"/>
        <v>0</v>
      </c>
      <c r="S38" s="39">
        <f t="shared" si="4"/>
        <v>0</v>
      </c>
      <c r="T38" s="39">
        <f t="shared" si="5"/>
        <v>0</v>
      </c>
    </row>
    <row r="39" spans="2:21" x14ac:dyDescent="0.25">
      <c r="B39" s="37">
        <v>35</v>
      </c>
      <c r="D39" s="9">
        <v>5.0984163130538125</v>
      </c>
      <c r="E39" s="9">
        <v>5.4810503248453815</v>
      </c>
      <c r="F39" s="9">
        <v>296.57761461523245</v>
      </c>
      <c r="G39" s="9">
        <v>318.83564054325404</v>
      </c>
      <c r="H39" s="9">
        <v>1819.9565575086133</v>
      </c>
      <c r="I39" s="24"/>
      <c r="J39" s="9">
        <v>5.0332569489958097</v>
      </c>
      <c r="K39" s="9">
        <v>5.2203932971593368</v>
      </c>
      <c r="L39" s="22">
        <v>292.78725941950444</v>
      </c>
      <c r="M39" s="22">
        <v>303.67308127835167</v>
      </c>
      <c r="N39" s="22">
        <v>671.22700998264224</v>
      </c>
      <c r="Q39" s="39">
        <v>25</v>
      </c>
      <c r="R39" s="39">
        <f t="shared" si="3"/>
        <v>0</v>
      </c>
      <c r="S39" s="39">
        <f t="shared" si="4"/>
        <v>0</v>
      </c>
      <c r="T39" s="39">
        <f t="shared" si="5"/>
        <v>0</v>
      </c>
    </row>
    <row r="40" spans="2:21" x14ac:dyDescent="0.25">
      <c r="B40" s="37">
        <v>36</v>
      </c>
      <c r="D40" s="9">
        <v>5.2178935012018757</v>
      </c>
      <c r="E40" s="9">
        <v>5.6112903765592153</v>
      </c>
      <c r="F40" s="9">
        <v>295.09634272727425</v>
      </c>
      <c r="G40" s="9">
        <v>317.34478055597822</v>
      </c>
      <c r="H40" s="9">
        <v>1871.1489333049467</v>
      </c>
      <c r="I40" s="24"/>
      <c r="J40" s="9">
        <v>5.1871093950546134</v>
      </c>
      <c r="K40" s="9">
        <v>5.3795940443704069</v>
      </c>
      <c r="L40" s="22">
        <v>293.3553571866355</v>
      </c>
      <c r="M40" s="22">
        <v>304.24126661179895</v>
      </c>
      <c r="N40" s="22">
        <v>690.41045674057466</v>
      </c>
      <c r="Q40" s="39">
        <v>10</v>
      </c>
      <c r="R40" s="39">
        <f t="shared" si="3"/>
        <v>0</v>
      </c>
      <c r="S40" s="39">
        <f t="shared" si="4"/>
        <v>0</v>
      </c>
      <c r="T40" s="39">
        <f t="shared" si="5"/>
        <v>0</v>
      </c>
    </row>
    <row r="41" spans="2:21" x14ac:dyDescent="0.25">
      <c r="B41" s="37">
        <v>37</v>
      </c>
      <c r="D41" s="9">
        <v>5.3392646754816777</v>
      </c>
      <c r="E41" s="9">
        <v>5.7439168070247444</v>
      </c>
      <c r="F41" s="9">
        <v>293.79935841867194</v>
      </c>
      <c r="G41" s="9">
        <v>316.06582091041491</v>
      </c>
      <c r="H41" s="9">
        <v>1924.6833203965491</v>
      </c>
      <c r="I41" s="24"/>
      <c r="J41" s="9">
        <v>5.3147126501178565</v>
      </c>
      <c r="K41" s="9">
        <v>5.5125425953839926</v>
      </c>
      <c r="L41" s="22">
        <v>292.44835416280614</v>
      </c>
      <c r="M41" s="22">
        <v>303.33418105617852</v>
      </c>
      <c r="N41" s="22">
        <v>709.58316602646744</v>
      </c>
    </row>
    <row r="42" spans="2:21" x14ac:dyDescent="0.25">
      <c r="B42" s="37">
        <v>38</v>
      </c>
      <c r="D42" s="9">
        <v>5.4592853691085557</v>
      </c>
      <c r="E42" s="9">
        <v>5.874842838933823</v>
      </c>
      <c r="F42" s="9">
        <v>292.49828021930955</v>
      </c>
      <c r="G42" s="9">
        <v>314.76307076203693</v>
      </c>
      <c r="H42" s="9">
        <v>1976.5533614982251</v>
      </c>
      <c r="I42" s="24"/>
      <c r="J42" s="9">
        <v>5.4662454533248024</v>
      </c>
      <c r="K42" s="9">
        <v>5.6694239460712321</v>
      </c>
      <c r="L42" s="22">
        <v>292.87118848949325</v>
      </c>
      <c r="M42" s="22">
        <v>303.75711140573503</v>
      </c>
      <c r="N42" s="22">
        <v>728.76749290505757</v>
      </c>
    </row>
    <row r="43" spans="2:21" x14ac:dyDescent="0.25">
      <c r="B43" s="37">
        <v>39</v>
      </c>
      <c r="D43" s="9">
        <v>5.5803660301704907</v>
      </c>
      <c r="E43" s="9">
        <v>6.0071046693289478</v>
      </c>
      <c r="F43" s="9">
        <v>291.31925886658883</v>
      </c>
      <c r="G43" s="9">
        <v>313.59686277594744</v>
      </c>
      <c r="H43" s="9">
        <v>2029.7353626310492</v>
      </c>
      <c r="I43" s="24"/>
      <c r="J43" s="9">
        <v>5.6074088273362772</v>
      </c>
      <c r="K43" s="9">
        <v>5.8159351285789205</v>
      </c>
      <c r="L43" s="22">
        <v>292.73100992116537</v>
      </c>
      <c r="M43" s="22">
        <v>303.61698535785945</v>
      </c>
      <c r="N43" s="22">
        <v>747.94917942167194</v>
      </c>
    </row>
    <row r="44" spans="2:21" x14ac:dyDescent="0.25">
      <c r="B44" s="37">
        <v>40</v>
      </c>
      <c r="D44" s="9">
        <v>5.7002281209253667</v>
      </c>
      <c r="E44" s="9">
        <v>6.137832205445414</v>
      </c>
      <c r="F44" s="9">
        <v>290.13716430354623</v>
      </c>
      <c r="G44" s="9">
        <v>312.41087080736327</v>
      </c>
      <c r="H44" s="9">
        <v>2081.4156574472299</v>
      </c>
      <c r="I44" s="24"/>
      <c r="J44" s="9">
        <v>5.7484888880709821</v>
      </c>
      <c r="K44" s="9">
        <v>5.9623619632321292</v>
      </c>
      <c r="L44" s="22">
        <v>292.59359970046319</v>
      </c>
      <c r="M44" s="22">
        <v>303.47957237238859</v>
      </c>
      <c r="N44" s="22">
        <v>767.12716943151815</v>
      </c>
    </row>
    <row r="45" spans="2:21" x14ac:dyDescent="0.25">
      <c r="B45" s="37">
        <v>41</v>
      </c>
      <c r="D45" s="9">
        <v>5.8206234923186724</v>
      </c>
      <c r="E45" s="9">
        <v>6.2692320775235517</v>
      </c>
      <c r="F45" s="9">
        <v>289.03921442012091</v>
      </c>
      <c r="G45" s="9">
        <v>311.3161188137579</v>
      </c>
      <c r="H45" s="9">
        <v>2133.7573536014252</v>
      </c>
      <c r="I45" s="24"/>
      <c r="J45" s="9">
        <v>5.8963389981490968</v>
      </c>
      <c r="K45" s="9">
        <v>6.1155603744625173</v>
      </c>
      <c r="L45" s="22">
        <v>292.79907800750613</v>
      </c>
      <c r="M45" s="22">
        <v>303.68512388856129</v>
      </c>
      <c r="N45" s="22">
        <v>786.31061618945034</v>
      </c>
    </row>
    <row r="46" spans="2:21" x14ac:dyDescent="0.25">
      <c r="B46" s="37">
        <v>42</v>
      </c>
      <c r="D46" s="9">
        <v>5.9413151323826767</v>
      </c>
      <c r="E46" s="9">
        <v>6.4010057245181118</v>
      </c>
      <c r="F46" s="9">
        <v>288.00790962086205</v>
      </c>
      <c r="G46" s="9">
        <v>310.29161677379471</v>
      </c>
      <c r="H46" s="9">
        <v>2186.4676996817298</v>
      </c>
      <c r="I46" s="24"/>
      <c r="J46" s="9">
        <v>6.0410219347455074</v>
      </c>
      <c r="K46" s="9">
        <v>6.2655913658831661</v>
      </c>
      <c r="L46" s="22">
        <v>292.84124148151074</v>
      </c>
      <c r="M46" s="22">
        <v>303.72734514468493</v>
      </c>
      <c r="N46" s="22">
        <v>805.49318282672243</v>
      </c>
    </row>
    <row r="47" spans="2:21" x14ac:dyDescent="0.25">
      <c r="B47" s="37">
        <v>43</v>
      </c>
      <c r="D47" s="9">
        <v>6.0616094414483905</v>
      </c>
      <c r="E47" s="9">
        <v>6.5322794587185635</v>
      </c>
      <c r="F47" s="9">
        <v>287.00575961428149</v>
      </c>
      <c r="G47" s="9">
        <v>309.29109606479608</v>
      </c>
      <c r="H47" s="9">
        <v>2238.690126742184</v>
      </c>
      <c r="I47" s="24"/>
      <c r="J47" s="9">
        <v>6.1875973728779101</v>
      </c>
      <c r="K47" s="9">
        <v>6.4175151051678387</v>
      </c>
      <c r="L47" s="22">
        <v>292.97105023741364</v>
      </c>
      <c r="M47" s="22">
        <v>303.85722065833352</v>
      </c>
      <c r="N47" s="22">
        <v>824.67662958465473</v>
      </c>
    </row>
    <row r="48" spans="2:21" x14ac:dyDescent="0.25">
      <c r="B48" s="37">
        <v>44</v>
      </c>
      <c r="D48" s="9">
        <v>6.1821299104242557</v>
      </c>
      <c r="E48" s="9">
        <v>6.6638386223112001</v>
      </c>
      <c r="F48" s="9">
        <v>286.05962675617025</v>
      </c>
      <c r="G48" s="9">
        <v>308.3492609638277</v>
      </c>
      <c r="H48" s="9">
        <v>2291.1944625696633</v>
      </c>
      <c r="I48" s="24"/>
      <c r="J48" s="9">
        <v>6.3226222702122818</v>
      </c>
      <c r="K48" s="9">
        <v>6.5578852984525566</v>
      </c>
      <c r="L48" s="22">
        <v>292.56049176311382</v>
      </c>
      <c r="M48" s="22">
        <v>303.4465868505788</v>
      </c>
      <c r="N48" s="22">
        <v>843.8493388705474</v>
      </c>
    </row>
    <row r="49" spans="2:32" x14ac:dyDescent="0.25">
      <c r="B49" s="37">
        <v>45</v>
      </c>
      <c r="D49" s="9">
        <v>6.3031004993573445</v>
      </c>
      <c r="E49" s="9">
        <v>6.7959653050273845</v>
      </c>
      <c r="F49" s="9">
        <v>285.17590936256192</v>
      </c>
      <c r="G49" s="9">
        <v>307.47496189457951</v>
      </c>
      <c r="H49" s="9">
        <v>2344.2571946087455</v>
      </c>
      <c r="I49" s="24"/>
      <c r="J49" s="9">
        <v>6.4696405825344048</v>
      </c>
      <c r="K49" s="9">
        <v>6.7102533898951027</v>
      </c>
      <c r="L49" s="22">
        <v>292.71080741316052</v>
      </c>
      <c r="M49" s="22">
        <v>303.5970333507546</v>
      </c>
      <c r="N49" s="22">
        <v>863.03806635243302</v>
      </c>
    </row>
    <row r="50" spans="2:32" x14ac:dyDescent="0.25">
      <c r="B50" s="37">
        <v>46</v>
      </c>
      <c r="D50" s="9">
        <v>6.4234851726619331</v>
      </c>
      <c r="E50" s="9">
        <v>6.9273544790167998</v>
      </c>
      <c r="F50" s="9">
        <v>284.30468172660022</v>
      </c>
      <c r="G50" s="9">
        <v>306.60603355110493</v>
      </c>
      <c r="H50" s="9">
        <v>2396.598890762943</v>
      </c>
      <c r="I50" s="24"/>
      <c r="J50" s="9">
        <v>6.6135307608464418</v>
      </c>
      <c r="K50" s="9">
        <v>6.8594906377192766</v>
      </c>
      <c r="L50" s="22">
        <v>292.71613579086647</v>
      </c>
      <c r="M50" s="22">
        <v>303.60236696167289</v>
      </c>
      <c r="N50" s="22">
        <v>882.2171125070696</v>
      </c>
    </row>
    <row r="51" spans="2:32" x14ac:dyDescent="0.25">
      <c r="B51" s="37">
        <v>47</v>
      </c>
      <c r="D51" s="9">
        <v>6.543595700186609</v>
      </c>
      <c r="E51" s="9">
        <v>7.0583988397669533</v>
      </c>
      <c r="F51" s="9">
        <v>283.45865202721421</v>
      </c>
      <c r="G51" s="9">
        <v>305.75914409469641</v>
      </c>
      <c r="H51" s="9">
        <v>2448.604464925686</v>
      </c>
      <c r="I51" s="24"/>
      <c r="J51" s="9">
        <v>6.7538953338768462</v>
      </c>
      <c r="K51" s="9">
        <v>7.0052014920121337</v>
      </c>
      <c r="L51" s="22">
        <v>292.56851354967216</v>
      </c>
      <c r="M51" s="22">
        <v>303.45471558521893</v>
      </c>
      <c r="N51" s="22">
        <v>901.393342275598</v>
      </c>
    </row>
    <row r="52" spans="2:32" x14ac:dyDescent="0.25">
      <c r="B52" s="37">
        <v>48</v>
      </c>
      <c r="D52" s="9">
        <v>6.6649423480154981</v>
      </c>
      <c r="E52" s="9">
        <v>7.1910007437815704</v>
      </c>
      <c r="F52" s="9">
        <v>282.70030486457011</v>
      </c>
      <c r="G52" s="9">
        <v>305.01360647983705</v>
      </c>
      <c r="H52" s="9">
        <v>2502.1388520172909</v>
      </c>
      <c r="I52" s="24"/>
      <c r="J52" s="9">
        <v>6.8974586262769417</v>
      </c>
      <c r="K52" s="9">
        <v>7.1541145635326586</v>
      </c>
      <c r="L52" s="22">
        <v>292.5627191688825</v>
      </c>
      <c r="M52" s="22">
        <v>303.44904164834054</v>
      </c>
      <c r="N52" s="22">
        <v>920.58206975748362</v>
      </c>
    </row>
    <row r="53" spans="2:32" x14ac:dyDescent="0.25">
      <c r="B53" s="37">
        <v>49</v>
      </c>
      <c r="D53" s="9">
        <v>6.7843906048402047</v>
      </c>
      <c r="E53" s="9">
        <v>7.3212118641720467</v>
      </c>
      <c r="F53" s="9">
        <v>281.89403177299153</v>
      </c>
      <c r="G53" s="9">
        <v>304.19916099514251</v>
      </c>
      <c r="H53" s="9">
        <v>2553.3312278136214</v>
      </c>
      <c r="I53" s="24"/>
      <c r="J53" s="9">
        <v>7.0469925140038274</v>
      </c>
      <c r="K53" s="9">
        <v>7.3089955207716768</v>
      </c>
      <c r="L53" s="22">
        <v>292.80524181927126</v>
      </c>
      <c r="M53" s="22">
        <v>303.69156724129863</v>
      </c>
      <c r="N53" s="22">
        <v>939.76111591212009</v>
      </c>
    </row>
    <row r="54" spans="2:32" x14ac:dyDescent="0.25">
      <c r="B54" s="37">
        <v>50</v>
      </c>
      <c r="D54" s="9">
        <v>6.9054482296595641</v>
      </c>
      <c r="E54" s="9">
        <v>7.4534506583245985</v>
      </c>
      <c r="F54" s="9">
        <v>281.18554206537539</v>
      </c>
      <c r="G54" s="9">
        <v>303.49985893991033</v>
      </c>
      <c r="H54" s="9">
        <v>2606.5132289464445</v>
      </c>
      <c r="I54" s="24"/>
      <c r="J54" s="9">
        <v>7.1859782609552028</v>
      </c>
      <c r="K54" s="9">
        <v>7.4533287806256379</v>
      </c>
      <c r="L54" s="22">
        <v>292.60854985459883</v>
      </c>
      <c r="M54" s="22">
        <v>303.49489615607524</v>
      </c>
      <c r="N54" s="22">
        <v>958.94174628394455</v>
      </c>
      <c r="AD54" s="26"/>
    </row>
    <row r="55" spans="2:32" x14ac:dyDescent="0.25">
      <c r="B55" s="37">
        <v>51</v>
      </c>
      <c r="D55" s="9">
        <v>7.0257270488207517</v>
      </c>
      <c r="E55" s="9">
        <v>7.5847089026205214</v>
      </c>
      <c r="F55" s="9">
        <v>280.4737456008711</v>
      </c>
      <c r="G55" s="9">
        <v>302.78883600627694</v>
      </c>
      <c r="H55" s="9">
        <v>2658.7356560068997</v>
      </c>
      <c r="I55" s="24"/>
      <c r="J55" s="9">
        <v>7.3324872521163051</v>
      </c>
      <c r="K55" s="9">
        <v>7.6051863192670357</v>
      </c>
      <c r="L55" s="22">
        <v>292.71990640696589</v>
      </c>
      <c r="M55" s="22">
        <v>303.60631407042138</v>
      </c>
      <c r="N55" s="22">
        <v>978.12607316253434</v>
      </c>
    </row>
    <row r="56" spans="2:32" x14ac:dyDescent="0.25">
      <c r="B56" s="37">
        <v>52</v>
      </c>
      <c r="D56" s="9">
        <v>5.9930036348499236</v>
      </c>
      <c r="E56" s="9">
        <v>6.3638560379377891</v>
      </c>
      <c r="F56" s="9">
        <v>391.07590968273627</v>
      </c>
      <c r="G56" s="9">
        <v>415.2760353179425</v>
      </c>
      <c r="H56" s="9">
        <v>1763.918632605104</v>
      </c>
      <c r="I56" s="24"/>
      <c r="J56" s="9">
        <v>5.9237925840433556</v>
      </c>
      <c r="K56" s="9">
        <v>6.0907673829917854</v>
      </c>
      <c r="L56" s="22">
        <v>386.55951418167552</v>
      </c>
      <c r="M56" s="22">
        <v>397.45552315672836</v>
      </c>
      <c r="N56" s="22">
        <v>598.90871485266075</v>
      </c>
    </row>
    <row r="57" spans="2:32" x14ac:dyDescent="0.25">
      <c r="B57" s="37">
        <v>53</v>
      </c>
      <c r="D57" s="9">
        <v>6.0920882342708529</v>
      </c>
      <c r="E57" s="9">
        <v>6.470336409031118</v>
      </c>
      <c r="F57" s="9">
        <v>390.04092875708983</v>
      </c>
      <c r="G57" s="9">
        <v>414.25795643476357</v>
      </c>
      <c r="H57" s="9">
        <v>1799.0958064532888</v>
      </c>
      <c r="I57" s="24"/>
      <c r="J57" s="9">
        <v>6.0341709890702786</v>
      </c>
      <c r="K57" s="9">
        <v>6.2043572615497</v>
      </c>
      <c r="L57" s="22">
        <v>386.33282486227029</v>
      </c>
      <c r="M57" s="22">
        <v>397.22886070859374</v>
      </c>
      <c r="N57" s="22">
        <v>610.42768972848762</v>
      </c>
      <c r="P57" s="28"/>
    </row>
    <row r="58" spans="2:32" x14ac:dyDescent="0.25">
      <c r="B58" s="37">
        <v>54</v>
      </c>
      <c r="D58" s="9">
        <v>6.1901091518831208</v>
      </c>
      <c r="E58" s="9">
        <v>6.575477267264783</v>
      </c>
      <c r="F58" s="9">
        <v>388.97744024322503</v>
      </c>
      <c r="G58" s="9">
        <v>413.19341114042857</v>
      </c>
      <c r="H58" s="9">
        <v>1832.9610202703291</v>
      </c>
      <c r="I58" s="24"/>
      <c r="J58" s="9">
        <v>6.1503041459557366</v>
      </c>
      <c r="K58" s="9">
        <v>6.3237023353565984</v>
      </c>
      <c r="L58" s="22">
        <v>386.47615166581926</v>
      </c>
      <c r="M58" s="22">
        <v>397.37224125019088</v>
      </c>
      <c r="N58" s="22">
        <v>621.94824882150215</v>
      </c>
    </row>
    <row r="59" spans="2:32" x14ac:dyDescent="0.25">
      <c r="B59" s="37">
        <v>55</v>
      </c>
      <c r="D59" s="9">
        <v>6.2885460258873858</v>
      </c>
      <c r="E59" s="9">
        <v>6.6811423626749384</v>
      </c>
      <c r="F59" s="9">
        <v>387.97828689452274</v>
      </c>
      <c r="G59" s="9">
        <v>412.1999199335217</v>
      </c>
      <c r="H59" s="9">
        <v>1867.3412597194288</v>
      </c>
      <c r="I59" s="24"/>
      <c r="J59" s="9">
        <v>6.2619260663416405</v>
      </c>
      <c r="K59" s="9">
        <v>6.4385357292734984</v>
      </c>
      <c r="L59" s="22">
        <v>386.33594123000125</v>
      </c>
      <c r="M59" s="22">
        <v>397.23205524288267</v>
      </c>
      <c r="N59" s="22">
        <v>633.46722369732868</v>
      </c>
    </row>
    <row r="60" spans="2:32" x14ac:dyDescent="0.25">
      <c r="B60" s="37">
        <v>56</v>
      </c>
      <c r="D60" s="9">
        <v>6.3870564220618968</v>
      </c>
      <c r="E60" s="9">
        <v>6.7869003568167665</v>
      </c>
      <c r="F60" s="9">
        <v>387.01927261911538</v>
      </c>
      <c r="G60" s="9">
        <v>411.24753968991712</v>
      </c>
      <c r="H60" s="9">
        <v>1901.8136616500565</v>
      </c>
      <c r="I60" s="24"/>
      <c r="J60" s="9">
        <v>6.375923277101923</v>
      </c>
      <c r="K60" s="9">
        <v>6.5557446598927998</v>
      </c>
      <c r="L60" s="22">
        <v>386.34466738946855</v>
      </c>
      <c r="M60" s="22">
        <v>397.24081988448938</v>
      </c>
      <c r="N60" s="22">
        <v>644.98707869381599</v>
      </c>
      <c r="AE60" s="26"/>
      <c r="AF60" s="26"/>
    </row>
    <row r="61" spans="2:32" x14ac:dyDescent="0.25">
      <c r="B61" s="37">
        <v>57</v>
      </c>
      <c r="D61" s="9">
        <v>6.4850739978421217</v>
      </c>
      <c r="E61" s="9">
        <v>6.8920378732183973</v>
      </c>
      <c r="F61" s="9">
        <v>386.06456975267736</v>
      </c>
      <c r="G61" s="9">
        <v>410.29163848069851</v>
      </c>
      <c r="H61" s="9">
        <v>1935.6788754670963</v>
      </c>
      <c r="I61" s="24"/>
      <c r="J61" s="9">
        <v>6.4879541661988016</v>
      </c>
      <c r="K61" s="9">
        <v>6.6709862342709823</v>
      </c>
      <c r="L61" s="22">
        <v>386.23602977885542</v>
      </c>
      <c r="M61" s="22">
        <v>397.1321578160593</v>
      </c>
      <c r="N61" s="22">
        <v>656.50323718353457</v>
      </c>
    </row>
    <row r="62" spans="2:32" x14ac:dyDescent="0.25">
      <c r="B62" s="37">
        <v>58</v>
      </c>
      <c r="D62" s="9">
        <v>6.5844383764056937</v>
      </c>
      <c r="E62" s="9">
        <v>6.9988721103069054</v>
      </c>
      <c r="F62" s="9">
        <v>385.22158217009309</v>
      </c>
      <c r="G62" s="9">
        <v>409.46796577209642</v>
      </c>
      <c r="H62" s="9">
        <v>1971.2084352740599</v>
      </c>
      <c r="I62" s="24"/>
      <c r="J62" s="9">
        <v>6.5976024384110952</v>
      </c>
      <c r="K62" s="9">
        <v>6.7838474579824295</v>
      </c>
      <c r="L62" s="22">
        <v>385.99174364835636</v>
      </c>
      <c r="M62" s="22">
        <v>396.88798065585246</v>
      </c>
      <c r="N62" s="22">
        <v>668.02749278331601</v>
      </c>
    </row>
    <row r="63" spans="2:32" x14ac:dyDescent="0.25">
      <c r="B63" s="37">
        <v>59</v>
      </c>
      <c r="D63" s="9">
        <v>6.6819050490622383</v>
      </c>
      <c r="E63" s="9">
        <v>7.1033162488684285</v>
      </c>
      <c r="F63" s="9">
        <v>384.29802721723917</v>
      </c>
      <c r="G63" s="9">
        <v>408.53475185544647</v>
      </c>
      <c r="H63" s="9">
        <v>2004.3959837857549</v>
      </c>
      <c r="I63" s="24"/>
      <c r="J63" s="9">
        <v>6.7185399385797346</v>
      </c>
      <c r="K63" s="9">
        <v>6.9079971706661389</v>
      </c>
      <c r="L63" s="22">
        <v>386.40501851171604</v>
      </c>
      <c r="M63" s="22">
        <v>397.30131829422521</v>
      </c>
      <c r="N63" s="22">
        <v>679.54910802112113</v>
      </c>
    </row>
    <row r="64" spans="2:32" x14ac:dyDescent="0.25">
      <c r="B64" s="37">
        <v>60</v>
      </c>
      <c r="D64" s="9">
        <v>6.7809819889902592</v>
      </c>
      <c r="E64" s="9">
        <v>7.2097889604688516</v>
      </c>
      <c r="F64" s="9">
        <v>383.49632559377238</v>
      </c>
      <c r="G64" s="9">
        <v>407.74737038610942</v>
      </c>
      <c r="H64" s="9">
        <v>2039.5731576339394</v>
      </c>
      <c r="I64" s="24"/>
      <c r="J64" s="9">
        <v>6.8265676349574393</v>
      </c>
      <c r="K64" s="9">
        <v>7.0192360449812057</v>
      </c>
      <c r="L64" s="22">
        <v>386.07440761148251</v>
      </c>
      <c r="M64" s="22">
        <v>396.97070956628409</v>
      </c>
      <c r="N64" s="22">
        <v>691.06702675215888</v>
      </c>
    </row>
    <row r="65" spans="2:29" x14ac:dyDescent="0.25">
      <c r="B65" s="37">
        <v>61</v>
      </c>
      <c r="D65" s="9">
        <v>6.8799613415409162</v>
      </c>
      <c r="E65" s="9">
        <v>7.3161390091418133</v>
      </c>
      <c r="F65" s="9">
        <v>382.71548072148516</v>
      </c>
      <c r="G65" s="9">
        <v>406.97898126296718</v>
      </c>
      <c r="H65" s="9">
        <v>2074.6310623883846</v>
      </c>
      <c r="I65" s="24"/>
      <c r="J65" s="9">
        <v>6.9398707847099725</v>
      </c>
      <c r="K65" s="9">
        <v>7.1357518999048626</v>
      </c>
      <c r="L65" s="22">
        <v>386.04809702613824</v>
      </c>
      <c r="M65" s="22">
        <v>396.94448603830131</v>
      </c>
      <c r="N65" s="22">
        <v>702.59040223128181</v>
      </c>
    </row>
    <row r="66" spans="2:29" x14ac:dyDescent="0.25">
      <c r="B66" s="37">
        <v>62</v>
      </c>
      <c r="D66" s="9">
        <v>6.9779738390823276</v>
      </c>
      <c r="E66" s="9">
        <v>7.4212714473046315</v>
      </c>
      <c r="F66" s="9">
        <v>381.90690808628739</v>
      </c>
      <c r="G66" s="9">
        <v>406.1687386437506</v>
      </c>
      <c r="H66" s="9">
        <v>2108.496276205422</v>
      </c>
      <c r="I66" s="24"/>
      <c r="J66" s="9">
        <v>7.0583287322269213</v>
      </c>
      <c r="K66" s="9">
        <v>7.2574223062649157</v>
      </c>
      <c r="L66" s="22">
        <v>386.30475902384427</v>
      </c>
      <c r="M66" s="22">
        <v>397.20121880344959</v>
      </c>
      <c r="N66" s="22">
        <v>714.11289758974385</v>
      </c>
    </row>
    <row r="67" spans="2:29" x14ac:dyDescent="0.25">
      <c r="B67" s="37">
        <v>63</v>
      </c>
      <c r="D67" s="9">
        <v>7.0759283144874212</v>
      </c>
      <c r="E67" s="9">
        <v>7.526331045960621</v>
      </c>
      <c r="F67" s="9">
        <v>381.12087925805622</v>
      </c>
      <c r="G67" s="9">
        <v>405.38029475945973</v>
      </c>
      <c r="H67" s="9">
        <v>2142.2910128307049</v>
      </c>
      <c r="I67" s="24"/>
      <c r="J67" s="9">
        <v>7.1746827938323872</v>
      </c>
      <c r="K67" s="9">
        <v>7.376988087729397</v>
      </c>
      <c r="L67" s="22">
        <v>386.43995434274376</v>
      </c>
      <c r="M67" s="22">
        <v>397.33644284033437</v>
      </c>
      <c r="N67" s="22">
        <v>725.63275258623116</v>
      </c>
    </row>
    <row r="68" spans="2:29" x14ac:dyDescent="0.25">
      <c r="B68" s="37">
        <v>64</v>
      </c>
      <c r="D68" s="9">
        <v>7.1742243072361251</v>
      </c>
      <c r="E68" s="9">
        <v>7.6318210661832637</v>
      </c>
      <c r="F68" s="9">
        <v>380.37752108732587</v>
      </c>
      <c r="G68" s="9">
        <v>404.63931070691524</v>
      </c>
      <c r="H68" s="9">
        <v>2176.5086126065244</v>
      </c>
      <c r="I68" s="24"/>
      <c r="J68" s="9">
        <v>7.281988318069426</v>
      </c>
      <c r="K68" s="9">
        <v>7.4875042972477432</v>
      </c>
      <c r="L68" s="22">
        <v>386.09117116958691</v>
      </c>
      <c r="M68" s="22">
        <v>396.98763263439429</v>
      </c>
      <c r="N68" s="22">
        <v>737.14891107594974</v>
      </c>
    </row>
    <row r="69" spans="2:29" x14ac:dyDescent="0.25">
      <c r="B69" s="37">
        <v>65</v>
      </c>
      <c r="D69" s="9">
        <v>7.2732964714611281</v>
      </c>
      <c r="E69" s="9">
        <v>7.7382890020806636</v>
      </c>
      <c r="F69" s="9">
        <v>379.69755498606543</v>
      </c>
      <c r="G69" s="9">
        <v>403.97217759436842</v>
      </c>
      <c r="H69" s="9">
        <v>2211.6857864547082</v>
      </c>
      <c r="I69" s="24"/>
      <c r="J69" s="9">
        <v>7.4004178627387383</v>
      </c>
      <c r="K69" s="9">
        <v>7.609148025056343</v>
      </c>
      <c r="L69" s="22">
        <v>386.33384179823202</v>
      </c>
      <c r="M69" s="22">
        <v>397.23045966535955</v>
      </c>
      <c r="N69" s="22">
        <v>748.67756727902713</v>
      </c>
    </row>
    <row r="70" spans="2:29" x14ac:dyDescent="0.25">
      <c r="B70" s="37">
        <v>66</v>
      </c>
      <c r="D70" s="9">
        <v>7.3719857814645113</v>
      </c>
      <c r="E70" s="9">
        <v>7.8442749213538203</v>
      </c>
      <c r="F70" s="9">
        <v>379.01851009878658</v>
      </c>
      <c r="G70" s="9">
        <v>403.30047854570921</v>
      </c>
      <c r="H70" s="9">
        <v>2246.3913052503731</v>
      </c>
      <c r="I70" s="24"/>
      <c r="J70" s="9">
        <v>7.5144647076203208</v>
      </c>
      <c r="K70" s="9">
        <v>7.7264063434689181</v>
      </c>
      <c r="L70" s="22">
        <v>386.34382947851577</v>
      </c>
      <c r="M70" s="22">
        <v>397.24045969845042</v>
      </c>
      <c r="N70" s="22">
        <v>760.19654215485411</v>
      </c>
    </row>
    <row r="71" spans="2:29" x14ac:dyDescent="0.25">
      <c r="B71" s="37">
        <v>67</v>
      </c>
      <c r="D71" s="9">
        <v>7.4701122592055871</v>
      </c>
      <c r="E71" s="9">
        <v>7.949552114255046</v>
      </c>
      <c r="F71" s="9">
        <v>378.33123001107271</v>
      </c>
      <c r="G71" s="9">
        <v>402.6129360662481</v>
      </c>
      <c r="H71" s="9">
        <v>2280.4028947733668</v>
      </c>
      <c r="I71" s="24"/>
      <c r="J71" s="9">
        <v>7.6206459863144955</v>
      </c>
      <c r="K71" s="9">
        <v>7.8357983074443966</v>
      </c>
      <c r="L71" s="22">
        <v>385.95515963342632</v>
      </c>
      <c r="M71" s="22">
        <v>396.85176191574186</v>
      </c>
      <c r="N71" s="22">
        <v>771.71270064457428</v>
      </c>
    </row>
    <row r="72" spans="2:29" x14ac:dyDescent="0.25">
      <c r="B72" s="37">
        <v>68</v>
      </c>
      <c r="D72" s="9">
        <v>7.5687998306725026</v>
      </c>
      <c r="E72" s="9">
        <v>8.0555362949917324</v>
      </c>
      <c r="F72" s="9">
        <v>377.69216329153272</v>
      </c>
      <c r="G72" s="9">
        <v>401.98089496291419</v>
      </c>
      <c r="H72" s="9">
        <v>2315.1084135690307</v>
      </c>
      <c r="I72" s="24"/>
      <c r="J72" s="9">
        <v>7.7425554313126685</v>
      </c>
      <c r="K72" s="9">
        <v>7.9609219355818599</v>
      </c>
      <c r="L72" s="22">
        <v>386.3627755626955</v>
      </c>
      <c r="M72" s="22">
        <v>397.25952527638333</v>
      </c>
      <c r="N72" s="22">
        <v>783.24135684764997</v>
      </c>
    </row>
    <row r="73" spans="2:29" x14ac:dyDescent="0.25">
      <c r="B73" s="37">
        <v>69</v>
      </c>
      <c r="D73" s="9">
        <v>7.6671880213341277</v>
      </c>
      <c r="E73" s="9">
        <v>8.1611435886773833</v>
      </c>
      <c r="F73" s="9">
        <v>377.0568972987171</v>
      </c>
      <c r="G73" s="9">
        <v>401.34863934386226</v>
      </c>
      <c r="H73" s="9">
        <v>2349.4452824385912</v>
      </c>
      <c r="I73" s="24"/>
      <c r="J73" s="9">
        <v>7.853482044305875</v>
      </c>
      <c r="K73" s="9">
        <v>8.0750595294500069</v>
      </c>
      <c r="L73" s="22">
        <v>386.21846293289343</v>
      </c>
      <c r="M73" s="22">
        <v>397.11519832365553</v>
      </c>
      <c r="N73" s="22">
        <v>794.75857148215937</v>
      </c>
    </row>
    <row r="74" spans="2:29" x14ac:dyDescent="0.25">
      <c r="B74" s="37">
        <v>70</v>
      </c>
      <c r="D74" s="9">
        <v>7.7655885552115773</v>
      </c>
      <c r="E74" s="9">
        <v>8.2667666449720638</v>
      </c>
      <c r="F74" s="9">
        <v>376.44038010574963</v>
      </c>
      <c r="G74" s="9">
        <v>400.73521227059518</v>
      </c>
      <c r="H74" s="9">
        <v>2383.798415275478</v>
      </c>
      <c r="I74" s="24"/>
      <c r="J74" s="9">
        <v>7.9639439438321231</v>
      </c>
      <c r="K74" s="9">
        <v>8.1887328532416426</v>
      </c>
      <c r="L74" s="22">
        <v>386.05574632782822</v>
      </c>
      <c r="M74" s="22">
        <v>396.95248929844149</v>
      </c>
      <c r="N74" s="22">
        <v>806.27737033385608</v>
      </c>
    </row>
    <row r="75" spans="2:29" x14ac:dyDescent="0.25">
      <c r="B75" s="37">
        <v>71</v>
      </c>
      <c r="D75" s="9">
        <v>7.8646555846291664</v>
      </c>
      <c r="E75" s="9">
        <v>8.3732294460620587</v>
      </c>
      <c r="F75" s="9">
        <v>375.87308321213737</v>
      </c>
      <c r="G75" s="9">
        <v>400.17919849981627</v>
      </c>
      <c r="H75" s="9">
        <v>2418.9755891236609</v>
      </c>
      <c r="I75" s="24"/>
      <c r="J75" s="9">
        <v>8.0784007309111363</v>
      </c>
      <c r="K75" s="9">
        <v>8.3064025918198094</v>
      </c>
      <c r="L75" s="22">
        <v>386.08853973024014</v>
      </c>
      <c r="M75" s="22">
        <v>396.98536305780476</v>
      </c>
      <c r="N75" s="22">
        <v>817.80162593363752</v>
      </c>
      <c r="O75" s="28"/>
    </row>
    <row r="76" spans="2:29" x14ac:dyDescent="0.25">
      <c r="B76" s="37">
        <v>72</v>
      </c>
      <c r="D76" s="9">
        <v>7.9623959808729037</v>
      </c>
      <c r="E76" s="9">
        <v>8.4780213950633083</v>
      </c>
      <c r="F76" s="9">
        <v>375.25902179374424</v>
      </c>
      <c r="G76" s="9">
        <v>399.55988412285853</v>
      </c>
      <c r="H76" s="9">
        <v>2452.5155235941365</v>
      </c>
      <c r="I76" s="24"/>
      <c r="J76" s="9">
        <v>8.1943805334059814</v>
      </c>
      <c r="K76" s="9">
        <v>8.4255946068297245</v>
      </c>
      <c r="L76" s="22">
        <v>386.19220025710405</v>
      </c>
      <c r="M76" s="22">
        <v>397.08906688196998</v>
      </c>
      <c r="N76" s="22">
        <v>829.32324117144265</v>
      </c>
    </row>
    <row r="77" spans="2:29" x14ac:dyDescent="0.25">
      <c r="B77" s="37">
        <v>73</v>
      </c>
      <c r="D77" s="9">
        <v>8.0614614231114068</v>
      </c>
      <c r="E77" s="9">
        <v>8.5844826089742128</v>
      </c>
      <c r="F77" s="9">
        <v>374.72337649402368</v>
      </c>
      <c r="G77" s="9">
        <v>399.03513021432803</v>
      </c>
      <c r="H77" s="9">
        <v>2487.6926974423186</v>
      </c>
      <c r="I77" s="24"/>
      <c r="J77" s="9">
        <v>8.3049512203766032</v>
      </c>
      <c r="K77" s="9">
        <v>8.5393767673313352</v>
      </c>
      <c r="L77" s="22">
        <v>386.04158719853433</v>
      </c>
      <c r="M77" s="22">
        <v>396.93846158405131</v>
      </c>
      <c r="N77" s="22">
        <v>840.84221604726952</v>
      </c>
    </row>
    <row r="78" spans="2:29" x14ac:dyDescent="0.25">
      <c r="B78" s="37">
        <v>74</v>
      </c>
      <c r="D78" s="9">
        <v>8.1601441485671025</v>
      </c>
      <c r="E78" s="9">
        <v>8.6904619436996828</v>
      </c>
      <c r="F78" s="9">
        <v>374.18465855765828</v>
      </c>
      <c r="G78" s="9">
        <v>398.5024622000829</v>
      </c>
      <c r="H78" s="9">
        <v>2522.398216237988</v>
      </c>
      <c r="I78" s="24"/>
      <c r="J78" s="9">
        <v>8.4213129380656184</v>
      </c>
      <c r="K78" s="9">
        <v>8.6589518799099547</v>
      </c>
      <c r="L78" s="22">
        <v>386.16059336287611</v>
      </c>
      <c r="M78" s="22">
        <v>397.05756340349001</v>
      </c>
      <c r="N78" s="22">
        <v>852.36805586423702</v>
      </c>
    </row>
    <row r="79" spans="2:29" x14ac:dyDescent="0.25">
      <c r="B79" s="37">
        <v>75</v>
      </c>
      <c r="D79" s="9">
        <v>8.2584310051254999</v>
      </c>
      <c r="E79" s="9">
        <v>8.7959428277320146</v>
      </c>
      <c r="F79" s="9">
        <v>373.64239583912138</v>
      </c>
      <c r="G79" s="9">
        <v>397.96144688718414</v>
      </c>
      <c r="H79" s="9">
        <v>2556.6158160138016</v>
      </c>
      <c r="I79" s="24"/>
      <c r="J79" s="9">
        <v>8.5341986154440832</v>
      </c>
      <c r="K79" s="9">
        <v>8.7750490308194102</v>
      </c>
      <c r="L79" s="22">
        <v>386.11915692731293</v>
      </c>
      <c r="M79" s="22">
        <v>397.01613314275056</v>
      </c>
      <c r="N79" s="22">
        <v>863.88703074006537</v>
      </c>
      <c r="R79" s="29"/>
      <c r="S79" s="29"/>
      <c r="T79" s="29"/>
      <c r="U79" s="29"/>
      <c r="V79" s="29"/>
      <c r="W79" s="29"/>
      <c r="X79" s="29"/>
      <c r="Y79" s="29"/>
      <c r="Z79" s="29"/>
      <c r="AA79" s="29"/>
      <c r="AB79" s="29"/>
      <c r="AC79" s="29"/>
    </row>
    <row r="80" spans="2:29" x14ac:dyDescent="0.25">
      <c r="B80" s="37">
        <v>76</v>
      </c>
      <c r="D80" s="9">
        <v>8.3569454031171357</v>
      </c>
      <c r="E80" s="9">
        <v>8.9017105226796289</v>
      </c>
      <c r="F80" s="9">
        <v>373.12456256180423</v>
      </c>
      <c r="G80" s="9">
        <v>397.4474744788626</v>
      </c>
      <c r="H80" s="9">
        <v>2591.1153245566452</v>
      </c>
      <c r="I80" s="24"/>
      <c r="J80" s="9">
        <v>8.6470860496287401</v>
      </c>
      <c r="K80" s="9">
        <v>8.8911479385350614</v>
      </c>
      <c r="L80" s="22">
        <v>386.07888936291761</v>
      </c>
      <c r="M80" s="22">
        <v>396.9758715906836</v>
      </c>
      <c r="N80" s="22">
        <v>875.40600561589349</v>
      </c>
      <c r="V80" s="29"/>
      <c r="W80" s="29"/>
      <c r="X80" s="29"/>
      <c r="Y80" s="29"/>
      <c r="Z80" s="29"/>
      <c r="AA80" s="29"/>
      <c r="AB80" s="29"/>
      <c r="AC80" s="29"/>
    </row>
    <row r="81" spans="2:29" x14ac:dyDescent="0.25">
      <c r="B81" s="37">
        <v>77</v>
      </c>
      <c r="D81" s="9">
        <v>8.4543747213276319</v>
      </c>
      <c r="E81" s="9">
        <v>9.006111607806444</v>
      </c>
      <c r="F81" s="9">
        <v>372.5723615649967</v>
      </c>
      <c r="G81" s="9">
        <v>396.88662743723955</v>
      </c>
      <c r="H81" s="9">
        <v>2624.2757664561268</v>
      </c>
      <c r="I81" s="24"/>
      <c r="J81" s="9">
        <v>8.7663944183249747</v>
      </c>
      <c r="K81" s="9">
        <v>9.013668716808791</v>
      </c>
      <c r="L81" s="22">
        <v>386.32262923078088</v>
      </c>
      <c r="M81" s="22">
        <v>397.21965856495922</v>
      </c>
      <c r="N81" s="22">
        <v>886.92832495022435</v>
      </c>
      <c r="V81" s="29"/>
      <c r="W81" s="29"/>
      <c r="X81" s="29"/>
      <c r="Y81" s="29"/>
      <c r="Z81" s="29"/>
      <c r="AA81" s="29"/>
      <c r="AB81" s="29"/>
      <c r="AC81" s="29"/>
    </row>
    <row r="82" spans="2:29" x14ac:dyDescent="0.25">
      <c r="B82" s="37">
        <v>78</v>
      </c>
      <c r="D82" s="9">
        <v>6.804703472667045</v>
      </c>
      <c r="E82" s="9">
        <v>7.0604380972720859</v>
      </c>
      <c r="F82" s="9">
        <v>888.08743089012978</v>
      </c>
      <c r="G82" s="9">
        <v>921.4635664803742</v>
      </c>
      <c r="H82" s="9">
        <v>1216.3735911837398</v>
      </c>
      <c r="I82" s="24"/>
      <c r="J82" s="9">
        <v>6.575986692402747</v>
      </c>
      <c r="K82" s="9">
        <v>6.6576834470163817</v>
      </c>
      <c r="L82" s="22">
        <v>858.23741632266604</v>
      </c>
      <c r="M82" s="22">
        <v>868.89972676842115</v>
      </c>
      <c r="N82" s="22">
        <v>293.02394403518747</v>
      </c>
      <c r="V82" s="29"/>
      <c r="W82" s="29"/>
      <c r="X82" s="29"/>
      <c r="Y82" s="29"/>
      <c r="Z82" s="29"/>
      <c r="AA82" s="29"/>
      <c r="AB82" s="29"/>
      <c r="AC82" s="29"/>
    </row>
    <row r="83" spans="2:29" x14ac:dyDescent="0.25">
      <c r="B83" s="37">
        <v>79</v>
      </c>
      <c r="D83" s="9">
        <v>6.8807270132518035</v>
      </c>
      <c r="E83" s="9">
        <v>7.1397961808174584</v>
      </c>
      <c r="F83" s="9">
        <v>886.64211886810574</v>
      </c>
      <c r="G83" s="9">
        <v>920.02545688186785</v>
      </c>
      <c r="H83" s="9">
        <v>1232.2339777161408</v>
      </c>
      <c r="I83" s="24"/>
      <c r="J83" s="9">
        <v>6.6588862157050723</v>
      </c>
      <c r="K83" s="9">
        <v>6.7416244994500127</v>
      </c>
      <c r="L83" s="22">
        <v>858.05598336099933</v>
      </c>
      <c r="M83" s="22">
        <v>868.71753802954515</v>
      </c>
      <c r="N83" s="22">
        <v>296.75962454447216</v>
      </c>
      <c r="V83" s="29"/>
      <c r="W83" s="29"/>
      <c r="X83" s="29"/>
      <c r="Y83" s="29"/>
      <c r="Z83" s="29"/>
      <c r="AA83" s="29"/>
      <c r="AB83" s="29"/>
      <c r="AC83" s="29"/>
    </row>
    <row r="84" spans="2:29" x14ac:dyDescent="0.25">
      <c r="B84" s="37">
        <v>80</v>
      </c>
      <c r="D84" s="9">
        <v>6.9568819161501292</v>
      </c>
      <c r="E84" s="9">
        <v>7.2193198206083338</v>
      </c>
      <c r="F84" s="9">
        <v>885.24965524482707</v>
      </c>
      <c r="G84" s="9">
        <v>918.64436673266641</v>
      </c>
      <c r="H84" s="9">
        <v>1248.2570039218251</v>
      </c>
      <c r="I84" s="24"/>
      <c r="J84" s="9">
        <v>6.7422801014903522</v>
      </c>
      <c r="K84" s="9">
        <v>6.8260691798323521</v>
      </c>
      <c r="L84" s="22">
        <v>857.94199288513403</v>
      </c>
      <c r="M84" s="22">
        <v>868.60398968334687</v>
      </c>
      <c r="N84" s="22">
        <v>300.52853774866298</v>
      </c>
      <c r="V84" s="29"/>
      <c r="W84" s="29"/>
      <c r="X84" s="29"/>
      <c r="Y84" s="29"/>
      <c r="Z84" s="29"/>
      <c r="AA84" s="29"/>
      <c r="AB84" s="29"/>
      <c r="AC84" s="29"/>
    </row>
    <row r="85" spans="2:29" x14ac:dyDescent="0.25">
      <c r="B85" s="37">
        <v>81</v>
      </c>
      <c r="D85" s="9">
        <v>7.0330145080591624</v>
      </c>
      <c r="E85" s="9">
        <v>7.2988154504212686</v>
      </c>
      <c r="F85" s="9">
        <v>883.88876945928587</v>
      </c>
      <c r="G85" s="9">
        <v>917.29385736239533</v>
      </c>
      <c r="H85" s="9">
        <v>1264.2529235152954</v>
      </c>
      <c r="I85" s="24"/>
      <c r="J85" s="9">
        <v>6.828792982667248</v>
      </c>
      <c r="K85" s="9">
        <v>6.913638646522414</v>
      </c>
      <c r="L85" s="22">
        <v>858.22280324111421</v>
      </c>
      <c r="M85" s="22">
        <v>868.88595903767384</v>
      </c>
      <c r="N85" s="22">
        <v>304.31822138717001</v>
      </c>
      <c r="V85" s="29"/>
      <c r="W85" s="29"/>
      <c r="X85" s="29"/>
      <c r="Y85" s="29"/>
      <c r="Z85" s="29"/>
      <c r="AA85" s="29"/>
      <c r="AB85" s="29"/>
      <c r="AC85" s="29"/>
    </row>
    <row r="86" spans="2:29" x14ac:dyDescent="0.25">
      <c r="B86" s="37">
        <v>82</v>
      </c>
      <c r="D86" s="9">
        <v>7.1090369789647747</v>
      </c>
      <c r="E86" s="9">
        <v>7.3781724642874877</v>
      </c>
      <c r="F86" s="9">
        <v>882.54740509982435</v>
      </c>
      <c r="G86" s="9">
        <v>915.95907884616497</v>
      </c>
      <c r="H86" s="9">
        <v>1280.1133100476941</v>
      </c>
      <c r="I86" s="24"/>
      <c r="J86" s="9">
        <v>6.9108354300295769</v>
      </c>
      <c r="K86" s="9">
        <v>6.9967284139321446</v>
      </c>
      <c r="L86" s="22">
        <v>857.94178506758794</v>
      </c>
      <c r="M86" s="22">
        <v>868.60492133819582</v>
      </c>
      <c r="N86" s="22">
        <v>308.07467233077074</v>
      </c>
      <c r="V86" s="29"/>
      <c r="W86" s="29"/>
      <c r="X86" s="29"/>
      <c r="Y86" s="29"/>
      <c r="Z86" s="29"/>
      <c r="AA86" s="29"/>
      <c r="AB86" s="29"/>
      <c r="AC86" s="29"/>
    </row>
    <row r="87" spans="2:29" x14ac:dyDescent="0.25">
      <c r="B87" s="37">
        <v>83</v>
      </c>
      <c r="D87" s="9">
        <v>7.1855728301646504</v>
      </c>
      <c r="E87" s="9">
        <v>7.458176214782549</v>
      </c>
      <c r="F87" s="9">
        <v>881.30132821037978</v>
      </c>
      <c r="G87" s="9">
        <v>914.73578508901028</v>
      </c>
      <c r="H87" s="9">
        <v>1296.6079913058979</v>
      </c>
      <c r="I87" s="24"/>
      <c r="J87" s="9">
        <v>6.9937334896134784</v>
      </c>
      <c r="K87" s="9">
        <v>7.0806830590292176</v>
      </c>
      <c r="L87" s="22">
        <v>857.77247816226497</v>
      </c>
      <c r="M87" s="22">
        <v>868.43673177496635</v>
      </c>
      <c r="N87" s="22">
        <v>311.86435596927731</v>
      </c>
      <c r="V87" s="29"/>
      <c r="W87" s="29"/>
      <c r="X87" s="29"/>
      <c r="Y87" s="29"/>
      <c r="Z87" s="29"/>
      <c r="AA87" s="29"/>
      <c r="AB87" s="29"/>
      <c r="AC87" s="29"/>
    </row>
    <row r="88" spans="2:29" x14ac:dyDescent="0.25">
      <c r="B88" s="37">
        <v>84</v>
      </c>
      <c r="D88" s="9">
        <v>7.2615946175155424</v>
      </c>
      <c r="E88" s="9">
        <v>7.5375325450940487</v>
      </c>
      <c r="F88" s="9">
        <v>880.02262113053041</v>
      </c>
      <c r="G88" s="9">
        <v>913.46315741593992</v>
      </c>
      <c r="H88" s="9">
        <v>1312.4683778382994</v>
      </c>
      <c r="I88" s="24"/>
      <c r="J88" s="9">
        <v>7.0785206481095022</v>
      </c>
      <c r="K88" s="9">
        <v>7.166521012122308</v>
      </c>
      <c r="L88" s="22">
        <v>857.83613966145117</v>
      </c>
      <c r="M88" s="22">
        <v>868.50078221973899</v>
      </c>
      <c r="N88" s="22">
        <v>315.63326917346842</v>
      </c>
      <c r="V88" s="29"/>
      <c r="W88" s="29"/>
      <c r="X88" s="29"/>
      <c r="Y88" s="29"/>
      <c r="Z88" s="29"/>
      <c r="AA88" s="29"/>
      <c r="AB88" s="29"/>
      <c r="AC88" s="29"/>
    </row>
    <row r="89" spans="2:29" x14ac:dyDescent="0.25">
      <c r="B89" s="37">
        <v>85</v>
      </c>
      <c r="D89" s="9">
        <v>7.3386786431188229</v>
      </c>
      <c r="E89" s="9">
        <v>7.6182269447089404</v>
      </c>
      <c r="F89" s="9">
        <v>878.90121797806103</v>
      </c>
      <c r="G89" s="9">
        <v>912.38072494375035</v>
      </c>
      <c r="H89" s="9">
        <v>1329.6407244018453</v>
      </c>
      <c r="I89" s="24"/>
      <c r="J89" s="9">
        <v>7.1531083300694522</v>
      </c>
      <c r="K89" s="9">
        <v>7.2421502232135602</v>
      </c>
      <c r="L89" s="22">
        <v>856.67678465823008</v>
      </c>
      <c r="M89" s="22">
        <v>867.34069735166963</v>
      </c>
      <c r="N89" s="22">
        <v>319.36894968275288</v>
      </c>
      <c r="V89" s="29"/>
      <c r="W89" s="29"/>
      <c r="X89" s="29"/>
      <c r="Y89" s="29"/>
      <c r="Z89" s="29"/>
      <c r="AA89" s="29"/>
      <c r="AB89" s="29"/>
      <c r="AC89" s="29"/>
    </row>
    <row r="90" spans="2:29" x14ac:dyDescent="0.25">
      <c r="B90" s="37">
        <v>86</v>
      </c>
      <c r="D90" s="9">
        <v>7.4146997683483704</v>
      </c>
      <c r="E90" s="9">
        <v>7.6975826128990992</v>
      </c>
      <c r="F90" s="9">
        <v>877.68007815518888</v>
      </c>
      <c r="G90" s="9">
        <v>911.16499930788314</v>
      </c>
      <c r="H90" s="9">
        <v>1345.501110934247</v>
      </c>
      <c r="I90" s="24"/>
      <c r="J90" s="9">
        <v>7.2415773799866816</v>
      </c>
      <c r="K90" s="9">
        <v>7.3316758586439565</v>
      </c>
      <c r="L90" s="22">
        <v>857.18753279329542</v>
      </c>
      <c r="M90" s="22">
        <v>867.85251482360559</v>
      </c>
      <c r="N90" s="22">
        <v>323.158633321259</v>
      </c>
    </row>
    <row r="91" spans="2:29" x14ac:dyDescent="0.25">
      <c r="B91" s="37">
        <v>87</v>
      </c>
      <c r="D91" s="9">
        <v>7.4902814944890856</v>
      </c>
      <c r="E91" s="9">
        <v>7.7763849022272833</v>
      </c>
      <c r="F91" s="9">
        <v>876.4355965562379</v>
      </c>
      <c r="G91" s="9">
        <v>909.9124706927156</v>
      </c>
      <c r="H91" s="9">
        <v>1360.8193652223713</v>
      </c>
      <c r="I91" s="24"/>
      <c r="J91" s="9">
        <v>7.3244523618498256</v>
      </c>
      <c r="K91" s="9">
        <v>7.415598160554504</v>
      </c>
      <c r="L91" s="22">
        <v>857.03197936267509</v>
      </c>
      <c r="M91" s="22">
        <v>867.69692199802239</v>
      </c>
      <c r="N91" s="22">
        <v>326.91508426486052</v>
      </c>
    </row>
    <row r="92" spans="2:29" x14ac:dyDescent="0.25">
      <c r="B92" s="37">
        <v>88</v>
      </c>
      <c r="D92" s="9">
        <v>7.5666839781772657</v>
      </c>
      <c r="E92" s="9">
        <v>7.8562210912787034</v>
      </c>
      <c r="F92" s="9">
        <v>875.31434390010224</v>
      </c>
      <c r="G92" s="9">
        <v>908.80801020360298</v>
      </c>
      <c r="H92" s="9">
        <v>1377.1514068072918</v>
      </c>
      <c r="I92" s="24"/>
      <c r="J92" s="9">
        <v>7.4087649988047639</v>
      </c>
      <c r="K92" s="9">
        <v>7.5009673830226067</v>
      </c>
      <c r="L92" s="22">
        <v>857.0462692431621</v>
      </c>
      <c r="M92" s="22">
        <v>867.71224520838371</v>
      </c>
      <c r="N92" s="22">
        <v>330.7047679033675</v>
      </c>
    </row>
    <row r="93" spans="2:29" x14ac:dyDescent="0.25">
      <c r="B93" s="37">
        <v>89</v>
      </c>
      <c r="D93" s="9">
        <v>7.6433847197243274</v>
      </c>
      <c r="E93" s="9">
        <v>7.9364330444347448</v>
      </c>
      <c r="F93" s="9">
        <v>874.25240274709404</v>
      </c>
      <c r="G93" s="9">
        <v>907.77134905081141</v>
      </c>
      <c r="H93" s="9">
        <v>1393.8520983183189</v>
      </c>
      <c r="I93" s="24"/>
      <c r="J93" s="9">
        <v>7.494041577328117</v>
      </c>
      <c r="K93" s="9">
        <v>7.5873092334332748</v>
      </c>
      <c r="L93" s="22">
        <v>857.17049389894214</v>
      </c>
      <c r="M93" s="22">
        <v>867.83847352295675</v>
      </c>
      <c r="N93" s="22">
        <v>334.52560719334753</v>
      </c>
    </row>
    <row r="94" spans="2:29" x14ac:dyDescent="0.25">
      <c r="B94" s="37">
        <v>90</v>
      </c>
      <c r="D94" s="9">
        <v>7.7188557431355855</v>
      </c>
      <c r="E94" s="9">
        <v>8.0150961360901878</v>
      </c>
      <c r="F94" s="9">
        <v>873.07496763361075</v>
      </c>
      <c r="G94" s="9">
        <v>906.58253405245694</v>
      </c>
      <c r="H94" s="9">
        <v>1409.0348195453782</v>
      </c>
      <c r="I94" s="24"/>
      <c r="J94" s="9">
        <v>7.5824748112862252</v>
      </c>
      <c r="K94" s="9">
        <v>7.6767955783548949</v>
      </c>
      <c r="L94" s="22">
        <v>857.64900533782463</v>
      </c>
      <c r="M94" s="22">
        <v>868.3175685803609</v>
      </c>
      <c r="N94" s="22">
        <v>338.30282857126497</v>
      </c>
    </row>
    <row r="95" spans="2:29" x14ac:dyDescent="0.25">
      <c r="B95" s="37">
        <v>91</v>
      </c>
      <c r="D95" s="9">
        <v>7.7959378664813483</v>
      </c>
      <c r="E95" s="9">
        <v>8.0957886334475599</v>
      </c>
      <c r="F95" s="9">
        <v>872.10363819242707</v>
      </c>
      <c r="G95" s="9">
        <v>905.6468692012769</v>
      </c>
      <c r="H95" s="9">
        <v>1426.2071661089244</v>
      </c>
      <c r="I95" s="24"/>
      <c r="J95" s="9">
        <v>7.6562569491999746</v>
      </c>
      <c r="K95" s="9">
        <v>7.751616929033502</v>
      </c>
      <c r="L95" s="22">
        <v>856.47803441858355</v>
      </c>
      <c r="M95" s="22">
        <v>867.14561371117111</v>
      </c>
      <c r="N95" s="22">
        <v>342.03020090682304</v>
      </c>
    </row>
    <row r="96" spans="2:29" x14ac:dyDescent="0.25">
      <c r="B96" s="37">
        <v>92</v>
      </c>
      <c r="D96" s="9">
        <v>7.8719571320842139</v>
      </c>
      <c r="E96" s="9">
        <v>8.1751424420110297</v>
      </c>
      <c r="F96" s="9">
        <v>871.0358188914397</v>
      </c>
      <c r="G96" s="9">
        <v>904.58341833549798</v>
      </c>
      <c r="H96" s="9">
        <v>1442.0675526413261</v>
      </c>
      <c r="I96" s="24"/>
      <c r="J96" s="9">
        <v>7.7492548151455969</v>
      </c>
      <c r="K96" s="9">
        <v>7.8456858577825423</v>
      </c>
      <c r="L96" s="22">
        <v>857.45874887934622</v>
      </c>
      <c r="M96" s="22">
        <v>868.1288898341902</v>
      </c>
      <c r="N96" s="22">
        <v>345.8718106311199</v>
      </c>
    </row>
    <row r="97" spans="2:14" x14ac:dyDescent="0.25">
      <c r="B97" s="37">
        <v>93</v>
      </c>
      <c r="D97" s="9">
        <v>7.9480858724707071</v>
      </c>
      <c r="E97" s="9">
        <v>8.2546342203014227</v>
      </c>
      <c r="F97" s="9">
        <v>870.00294663150476</v>
      </c>
      <c r="G97" s="9">
        <v>903.55793964202155</v>
      </c>
      <c r="H97" s="9">
        <v>1458.0634722347959</v>
      </c>
      <c r="I97" s="24"/>
      <c r="J97" s="9">
        <v>7.8294245960297868</v>
      </c>
      <c r="K97" s="9">
        <v>7.9269029587141393</v>
      </c>
      <c r="L97" s="22">
        <v>857.01420169201845</v>
      </c>
      <c r="M97" s="22">
        <v>867.68425032120365</v>
      </c>
      <c r="N97" s="22">
        <v>349.62826157472142</v>
      </c>
    </row>
    <row r="98" spans="2:14" x14ac:dyDescent="0.25">
      <c r="B98" s="37">
        <v>94</v>
      </c>
      <c r="D98" s="9">
        <v>8.0246182687805767</v>
      </c>
      <c r="E98" s="9">
        <v>8.3346345159064814</v>
      </c>
      <c r="F98" s="9">
        <v>869.03576478473087</v>
      </c>
      <c r="G98" s="9">
        <v>902.60935014328948</v>
      </c>
      <c r="H98" s="9">
        <v>1474.5581534929966</v>
      </c>
      <c r="I98" s="24"/>
      <c r="J98" s="9">
        <v>7.9123750303973885</v>
      </c>
      <c r="K98" s="9">
        <v>8.0109099785949045</v>
      </c>
      <c r="L98" s="22">
        <v>856.88024719584598</v>
      </c>
      <c r="M98" s="22">
        <v>867.55120887859584</v>
      </c>
      <c r="N98" s="22">
        <v>353.41794521322748</v>
      </c>
    </row>
    <row r="99" spans="2:14" x14ac:dyDescent="0.25">
      <c r="B99" s="37">
        <v>95</v>
      </c>
      <c r="D99" s="9">
        <v>8.1006366665992893</v>
      </c>
      <c r="E99" s="9">
        <v>8.4139874566858062</v>
      </c>
      <c r="F99" s="9">
        <v>868.03386650904235</v>
      </c>
      <c r="G99" s="9">
        <v>901.61136283275425</v>
      </c>
      <c r="H99" s="9">
        <v>1490.418540025398</v>
      </c>
      <c r="I99" s="24"/>
      <c r="J99" s="9">
        <v>8.0016967956127907</v>
      </c>
      <c r="K99" s="9">
        <v>8.1012970156976287</v>
      </c>
      <c r="L99" s="22">
        <v>857.43184073020086</v>
      </c>
      <c r="M99" s="22">
        <v>868.10462704363601</v>
      </c>
      <c r="N99" s="22">
        <v>357.23878450320848</v>
      </c>
    </row>
    <row r="100" spans="2:14" x14ac:dyDescent="0.25">
      <c r="B100" s="37">
        <v>96</v>
      </c>
      <c r="D100" s="9">
        <v>8.1773353409709948</v>
      </c>
      <c r="E100" s="9">
        <v>8.4941973426664834</v>
      </c>
      <c r="F100" s="9">
        <v>867.12497766790409</v>
      </c>
      <c r="G100" s="9">
        <v>900.72503742910521</v>
      </c>
      <c r="H100" s="9">
        <v>1507.1192315364253</v>
      </c>
      <c r="I100" s="24"/>
      <c r="J100" s="9">
        <v>8.0833156138292956</v>
      </c>
      <c r="K100" s="9">
        <v>8.183968944877634</v>
      </c>
      <c r="L100" s="22">
        <v>857.15512191432947</v>
      </c>
      <c r="M100" s="22">
        <v>867.82840530044632</v>
      </c>
      <c r="N100" s="22">
        <v>361.01600588112598</v>
      </c>
    </row>
    <row r="101" spans="2:14" x14ac:dyDescent="0.25">
      <c r="B101" s="37">
        <v>97</v>
      </c>
      <c r="D101" s="9">
        <v>8.2531863346297758</v>
      </c>
      <c r="E101" s="9">
        <v>8.5733395669720824</v>
      </c>
      <c r="F101" s="9">
        <v>866.14586738644493</v>
      </c>
      <c r="G101" s="9">
        <v>899.74493905167242</v>
      </c>
      <c r="H101" s="9">
        <v>1522.7736078160026</v>
      </c>
      <c r="I101" s="24"/>
      <c r="J101" s="9">
        <v>8.163988584350804</v>
      </c>
      <c r="K101" s="9">
        <v>8.2656811281640081</v>
      </c>
      <c r="L101" s="22">
        <v>856.78484490957089</v>
      </c>
      <c r="M101" s="22">
        <v>867.4571565473492</v>
      </c>
      <c r="N101" s="22">
        <v>364.74337821668399</v>
      </c>
    </row>
    <row r="102" spans="2:14" x14ac:dyDescent="0.25">
      <c r="B102" s="37">
        <v>98</v>
      </c>
      <c r="D102" s="9">
        <v>8.3293136687922544</v>
      </c>
      <c r="E102" s="9">
        <v>8.6528299390384618</v>
      </c>
      <c r="F102" s="9">
        <v>865.21544408226134</v>
      </c>
      <c r="G102" s="9">
        <v>898.8210068644222</v>
      </c>
      <c r="H102" s="9">
        <v>1538.7695274094733</v>
      </c>
      <c r="I102" s="24"/>
      <c r="J102" s="9">
        <v>8.2549713271245171</v>
      </c>
      <c r="K102" s="9">
        <v>8.3577349337411366</v>
      </c>
      <c r="L102" s="22">
        <v>857.49306205681739</v>
      </c>
      <c r="M102" s="22">
        <v>868.16773023115024</v>
      </c>
      <c r="N102" s="22">
        <v>368.58498794098102</v>
      </c>
    </row>
    <row r="103" spans="2:14" x14ac:dyDescent="0.25">
      <c r="B103" s="37">
        <v>99</v>
      </c>
      <c r="D103" s="9">
        <v>8.4057129549203342</v>
      </c>
      <c r="E103" s="9">
        <v>8.7326629305297825</v>
      </c>
      <c r="F103" s="9">
        <v>864.33178113348515</v>
      </c>
      <c r="G103" s="9">
        <v>897.95097040102314</v>
      </c>
      <c r="H103" s="9">
        <v>1555.1015689943936</v>
      </c>
      <c r="I103" s="24"/>
      <c r="J103" s="9">
        <v>8.333037995986917</v>
      </c>
      <c r="K103" s="9">
        <v>8.4368489226509418</v>
      </c>
      <c r="L103" s="22">
        <v>856.85885444236419</v>
      </c>
      <c r="M103" s="22">
        <v>867.53339015704307</v>
      </c>
      <c r="N103" s="22">
        <v>372.34143888458232</v>
      </c>
    </row>
    <row r="104" spans="2:14" x14ac:dyDescent="0.25">
      <c r="B104" s="37">
        <v>100</v>
      </c>
      <c r="D104" s="9">
        <v>8.4824105389596554</v>
      </c>
      <c r="E104" s="9">
        <v>8.8128717261780753</v>
      </c>
      <c r="F104" s="9">
        <v>863.49615770561286</v>
      </c>
      <c r="G104" s="9">
        <v>897.13659094370257</v>
      </c>
      <c r="H104" s="9">
        <v>1571.8022605054205</v>
      </c>
      <c r="I104" s="24"/>
      <c r="J104" s="9">
        <v>8.4173464623986316</v>
      </c>
      <c r="K104" s="9">
        <v>8.5222139745758252</v>
      </c>
      <c r="L104" s="22">
        <v>856.87273623160354</v>
      </c>
      <c r="M104" s="22">
        <v>867.54808534577865</v>
      </c>
      <c r="N104" s="22">
        <v>376.13112252308832</v>
      </c>
    </row>
    <row r="105" spans="2:14" x14ac:dyDescent="0.25">
      <c r="B105" s="37">
        <v>101</v>
      </c>
      <c r="D105" s="9">
        <v>8.5578784780941763</v>
      </c>
      <c r="E105" s="9">
        <v>8.8915317335567821</v>
      </c>
      <c r="F105" s="9">
        <v>862.55314470929659</v>
      </c>
      <c r="G105" s="9">
        <v>896.1822346149828</v>
      </c>
      <c r="H105" s="9">
        <v>1586.9849817324771</v>
      </c>
      <c r="I105" s="24"/>
      <c r="J105" s="9">
        <v>8.5127992240628707</v>
      </c>
      <c r="K105" s="9">
        <v>8.6187377990434797</v>
      </c>
      <c r="L105" s="22">
        <v>858.00958260738298</v>
      </c>
      <c r="M105" s="22">
        <v>868.68718818795389</v>
      </c>
      <c r="N105" s="22">
        <v>379.97273224738541</v>
      </c>
    </row>
    <row r="106" spans="2:14" x14ac:dyDescent="0.25">
      <c r="B106" s="37">
        <v>102</v>
      </c>
      <c r="D106" s="9">
        <v>8.6349575251924673</v>
      </c>
      <c r="E106" s="9">
        <v>8.9722211546666877</v>
      </c>
      <c r="F106" s="9">
        <v>861.78941459221153</v>
      </c>
      <c r="G106" s="9">
        <v>895.44913149989316</v>
      </c>
      <c r="H106" s="9">
        <v>1604.1573282960233</v>
      </c>
      <c r="I106" s="24"/>
      <c r="J106" s="9">
        <v>8.5869176400280356</v>
      </c>
      <c r="K106" s="9">
        <v>8.6939035350560534</v>
      </c>
      <c r="L106" s="22">
        <v>856.99491914829673</v>
      </c>
      <c r="M106" s="22">
        <v>867.67236736698544</v>
      </c>
      <c r="N106" s="22">
        <v>383.72918319098682</v>
      </c>
    </row>
    <row r="107" spans="2:14" x14ac:dyDescent="0.25">
      <c r="B107" s="37">
        <v>103</v>
      </c>
      <c r="D107" s="9">
        <v>8.7116543288725694</v>
      </c>
      <c r="E107" s="9">
        <v>9.0524291699557562</v>
      </c>
      <c r="F107" s="9">
        <v>861.00273575550216</v>
      </c>
      <c r="G107" s="9">
        <v>894.68268440507654</v>
      </c>
      <c r="H107" s="9">
        <v>1620.8580198070499</v>
      </c>
      <c r="I107" s="24"/>
      <c r="J107" s="9">
        <v>8.6712197615267002</v>
      </c>
      <c r="K107" s="9">
        <v>8.779262242067885</v>
      </c>
      <c r="L107" s="22">
        <v>857.00644850745323</v>
      </c>
      <c r="M107" s="22">
        <v>867.68465815765296</v>
      </c>
      <c r="N107" s="22">
        <v>387.51886682949367</v>
      </c>
    </row>
    <row r="108" spans="2:14" x14ac:dyDescent="0.25">
      <c r="B108" s="37">
        <v>104</v>
      </c>
      <c r="D108" s="9">
        <v>8.7865507251740897</v>
      </c>
      <c r="E108" s="9">
        <v>9.1303694607963841</v>
      </c>
      <c r="F108" s="9">
        <v>860.05495587531379</v>
      </c>
      <c r="G108" s="9">
        <v>893.70900474428902</v>
      </c>
      <c r="H108" s="9">
        <v>1635.3359691165492</v>
      </c>
      <c r="I108" s="24"/>
      <c r="J108" s="9">
        <v>8.7625241500112594</v>
      </c>
      <c r="K108" s="9">
        <v>8.8716203206075583</v>
      </c>
      <c r="L108" s="22">
        <v>857.70315985343484</v>
      </c>
      <c r="M108" s="22">
        <v>868.38183287577783</v>
      </c>
      <c r="N108" s="22">
        <v>391.29816525084192</v>
      </c>
    </row>
    <row r="109" spans="2:14" x14ac:dyDescent="0.25">
      <c r="B109" s="37">
        <v>105</v>
      </c>
      <c r="D109" s="9">
        <v>8.8636290111660365</v>
      </c>
      <c r="E109" s="9">
        <v>9.2110581207999367</v>
      </c>
      <c r="F109" s="9">
        <v>859.33676510338478</v>
      </c>
      <c r="G109" s="9">
        <v>893.02032821274247</v>
      </c>
      <c r="H109" s="9">
        <v>1652.5083156800981</v>
      </c>
      <c r="I109" s="24"/>
      <c r="J109" s="9">
        <v>8.8402002400269666</v>
      </c>
      <c r="K109" s="9">
        <v>8.9503495215867694</v>
      </c>
      <c r="L109" s="22">
        <v>857.06532477396286</v>
      </c>
      <c r="M109" s="22">
        <v>867.74439619886357</v>
      </c>
      <c r="N109" s="22">
        <v>395.07538662875925</v>
      </c>
    </row>
    <row r="110" spans="2:14" x14ac:dyDescent="0.25">
      <c r="B110" s="37">
        <v>106</v>
      </c>
      <c r="D110" s="9">
        <v>8.9396445228579111</v>
      </c>
      <c r="E110" s="9">
        <v>9.2904081754524324</v>
      </c>
      <c r="F110" s="9">
        <v>858.53006022763054</v>
      </c>
      <c r="G110" s="9">
        <v>892.21609092131689</v>
      </c>
      <c r="H110" s="9">
        <v>1668.3687022124998</v>
      </c>
      <c r="I110" s="24"/>
      <c r="J110" s="9">
        <v>8.9293989580429987</v>
      </c>
      <c r="K110" s="9">
        <v>9.0406135114901236</v>
      </c>
      <c r="L110" s="22">
        <v>857.54611446165256</v>
      </c>
      <c r="M110" s="22">
        <v>868.22674466176989</v>
      </c>
      <c r="N110" s="22">
        <v>398.89622591874019</v>
      </c>
    </row>
    <row r="111" spans="2:14" x14ac:dyDescent="0.25">
      <c r="B111" s="37">
        <v>107</v>
      </c>
      <c r="D111" s="9">
        <v>9.0167223161477725</v>
      </c>
      <c r="E111" s="9">
        <v>9.3710963427538871</v>
      </c>
      <c r="F111" s="9">
        <v>857.83949806842293</v>
      </c>
      <c r="G111" s="9">
        <v>891.55419243888821</v>
      </c>
      <c r="H111" s="9">
        <v>1685.5410487760457</v>
      </c>
      <c r="I111" s="24"/>
      <c r="J111" s="9">
        <v>9.0097261751182831</v>
      </c>
      <c r="K111" s="9">
        <v>9.1219973140785715</v>
      </c>
      <c r="L111" s="22">
        <v>857.17389410517285</v>
      </c>
      <c r="M111" s="22">
        <v>867.85522753392718</v>
      </c>
      <c r="N111" s="22">
        <v>402.6859095572463</v>
      </c>
    </row>
    <row r="112" spans="2:14" x14ac:dyDescent="0.25">
      <c r="B112" s="37">
        <v>108</v>
      </c>
      <c r="D112" s="9">
        <v>9.0921885229538315</v>
      </c>
      <c r="E112" s="9">
        <v>9.4497546178041425</v>
      </c>
      <c r="F112" s="9">
        <v>857.00981947745811</v>
      </c>
      <c r="G112" s="9">
        <v>890.71321812843223</v>
      </c>
      <c r="H112" s="9">
        <v>1700.7237700031014</v>
      </c>
      <c r="I112" s="24"/>
      <c r="J112" s="9">
        <v>9.094500129906633</v>
      </c>
      <c r="K112" s="9">
        <v>9.2078185889143214</v>
      </c>
      <c r="L112" s="22">
        <v>857.22770649688403</v>
      </c>
      <c r="M112" s="22">
        <v>867.90885678896916</v>
      </c>
      <c r="N112" s="22">
        <v>406.44236050084777</v>
      </c>
    </row>
    <row r="113" spans="2:14" x14ac:dyDescent="0.25">
      <c r="B113" s="37">
        <v>109</v>
      </c>
      <c r="D113" s="9">
        <v>9.1688838570585247</v>
      </c>
      <c r="E113" s="9">
        <v>9.5299611635178092</v>
      </c>
      <c r="F113" s="9">
        <v>856.31015631126854</v>
      </c>
      <c r="G113" s="9">
        <v>890.03227228033199</v>
      </c>
      <c r="H113" s="9">
        <v>1717.4244615141292</v>
      </c>
      <c r="I113" s="24"/>
      <c r="J113" s="9">
        <v>9.183200173235166</v>
      </c>
      <c r="K113" s="9">
        <v>9.2975896950462751</v>
      </c>
      <c r="L113" s="22">
        <v>857.64720094332415</v>
      </c>
      <c r="M113" s="22">
        <v>868.3303888677774</v>
      </c>
      <c r="N113" s="22">
        <v>410.28397022514457</v>
      </c>
    </row>
    <row r="114" spans="2:14" x14ac:dyDescent="0.25">
      <c r="B114" s="37">
        <v>110</v>
      </c>
      <c r="D114" s="9">
        <v>9.2447096240582134</v>
      </c>
      <c r="E114" s="9">
        <v>9.6090724621756696</v>
      </c>
      <c r="F114" s="9">
        <v>855.54274104401122</v>
      </c>
      <c r="G114" s="9">
        <v>889.26234868277902</v>
      </c>
      <c r="H114" s="9">
        <v>1733.051731181492</v>
      </c>
      <c r="I114" s="24"/>
      <c r="J114" s="9">
        <v>9.2634439553881958</v>
      </c>
      <c r="K114" s="9">
        <v>9.3788726899641759</v>
      </c>
      <c r="L114" s="22">
        <v>857.27649167864115</v>
      </c>
      <c r="M114" s="22">
        <v>867.95873265648424</v>
      </c>
      <c r="N114" s="22">
        <v>414.0113425607027</v>
      </c>
    </row>
    <row r="115" spans="2:14" x14ac:dyDescent="0.25">
      <c r="B115" s="37">
        <v>111</v>
      </c>
      <c r="D115" s="9">
        <v>9.3214044920742527</v>
      </c>
      <c r="E115" s="9">
        <v>9.6892785418006753</v>
      </c>
      <c r="F115" s="9">
        <v>854.86885859904737</v>
      </c>
      <c r="G115" s="9">
        <v>888.60670028001221</v>
      </c>
      <c r="H115" s="9">
        <v>1749.7524226925193</v>
      </c>
      <c r="I115" s="24"/>
      <c r="J115" s="9">
        <v>9.3451278254987482</v>
      </c>
      <c r="K115" s="9">
        <v>9.4616096710382305</v>
      </c>
      <c r="L115" s="22">
        <v>857.04453276746335</v>
      </c>
      <c r="M115" s="22">
        <v>867.72711846884727</v>
      </c>
      <c r="N115" s="22">
        <v>417.78856393862026</v>
      </c>
    </row>
    <row r="116" spans="2:14" x14ac:dyDescent="0.25">
      <c r="B116" s="37">
        <v>112</v>
      </c>
      <c r="D116" s="9">
        <v>9.3979322895717647</v>
      </c>
      <c r="E116" s="9">
        <v>9.769274238593372</v>
      </c>
      <c r="F116" s="9">
        <v>854.19182448514994</v>
      </c>
      <c r="G116" s="9">
        <v>887.94363788080614</v>
      </c>
      <c r="H116" s="9">
        <v>1766.2471039507232</v>
      </c>
      <c r="I116" s="24"/>
      <c r="J116" s="9">
        <v>9.4325090329219616</v>
      </c>
      <c r="K116" s="9">
        <v>9.5500619412648593</v>
      </c>
      <c r="L116" s="22">
        <v>857.33455530901779</v>
      </c>
      <c r="M116" s="22">
        <v>868.01911124717617</v>
      </c>
      <c r="N116" s="22">
        <v>421.63017366291706</v>
      </c>
    </row>
    <row r="117" spans="2:14" x14ac:dyDescent="0.25">
      <c r="B117" s="37">
        <v>113</v>
      </c>
      <c r="D117" s="9">
        <v>9.4739461678727199</v>
      </c>
      <c r="E117" s="9">
        <v>9.8486226598549393</v>
      </c>
      <c r="F117" s="9">
        <v>853.4804757782789</v>
      </c>
      <c r="G117" s="9">
        <v>887.23399991422241</v>
      </c>
      <c r="H117" s="9">
        <v>1782.1074904831244</v>
      </c>
      <c r="I117" s="24"/>
      <c r="J117" s="9">
        <v>9.5172539985527074</v>
      </c>
      <c r="K117" s="9">
        <v>9.6358577014926681</v>
      </c>
      <c r="L117" s="22">
        <v>857.38195329131622</v>
      </c>
      <c r="M117" s="22">
        <v>868.06661869056995</v>
      </c>
      <c r="N117" s="22">
        <v>425.39908686710743</v>
      </c>
    </row>
    <row r="118" spans="2:14" x14ac:dyDescent="0.25">
      <c r="B118" s="37">
        <v>114</v>
      </c>
      <c r="D118" s="9">
        <v>9.5506403564505575</v>
      </c>
      <c r="E118" s="9">
        <v>9.928828060041754</v>
      </c>
      <c r="F118" s="9">
        <v>852.84235645634715</v>
      </c>
      <c r="G118" s="9">
        <v>886.61333727813974</v>
      </c>
      <c r="H118" s="9">
        <v>1798.8081819941517</v>
      </c>
      <c r="I118" s="24"/>
      <c r="J118" s="9">
        <v>9.6033256035122747</v>
      </c>
      <c r="K118" s="9">
        <v>9.7229968947059895</v>
      </c>
      <c r="L118" s="22">
        <v>857.54698447893327</v>
      </c>
      <c r="M118" s="22">
        <v>868.23325704000717</v>
      </c>
      <c r="N118" s="22">
        <v>429.22823433081504</v>
      </c>
    </row>
    <row r="119" spans="2:14" x14ac:dyDescent="0.25">
      <c r="B119" s="37">
        <v>115</v>
      </c>
      <c r="D119" s="9">
        <v>9.6264869530496195</v>
      </c>
      <c r="E119" s="9">
        <v>10.007965887287634</v>
      </c>
      <c r="F119" s="9">
        <v>852.14030569572287</v>
      </c>
      <c r="G119" s="9">
        <v>885.9089668099499</v>
      </c>
      <c r="H119" s="9">
        <v>1814.4625582737267</v>
      </c>
      <c r="I119" s="24"/>
      <c r="J119" s="9">
        <v>9.6867655160236481</v>
      </c>
      <c r="K119" s="9">
        <v>9.8074876018144401</v>
      </c>
      <c r="L119" s="22">
        <v>857.47618713721977</v>
      </c>
      <c r="M119" s="22">
        <v>868.16255232856304</v>
      </c>
      <c r="N119" s="22">
        <v>432.99714753500558</v>
      </c>
    </row>
    <row r="120" spans="2:14" x14ac:dyDescent="0.25">
      <c r="B120" s="37">
        <v>116</v>
      </c>
      <c r="D120" s="9">
        <v>9.7026099360071427</v>
      </c>
      <c r="E120" s="9">
        <v>10.087451908149053</v>
      </c>
      <c r="F120" s="9">
        <v>851.47461417238787</v>
      </c>
      <c r="G120" s="9">
        <v>885.24729718325648</v>
      </c>
      <c r="H120" s="9">
        <v>1830.4584778671972</v>
      </c>
      <c r="I120" s="24"/>
      <c r="J120" s="9">
        <v>9.7731252082532052</v>
      </c>
      <c r="K120" s="9">
        <v>9.8949038795571571</v>
      </c>
      <c r="L120" s="22">
        <v>857.66284235274134</v>
      </c>
      <c r="M120" s="22">
        <v>868.34980677229942</v>
      </c>
      <c r="N120" s="22">
        <v>436.78683117351147</v>
      </c>
    </row>
    <row r="121" spans="2:14" x14ac:dyDescent="0.25">
      <c r="B121" s="37">
        <v>117</v>
      </c>
      <c r="D121" s="9">
        <v>9.7786229419963355</v>
      </c>
      <c r="E121" s="9">
        <v>10.166799457098858</v>
      </c>
      <c r="F121" s="9">
        <v>850.81073320177904</v>
      </c>
      <c r="G121" s="9">
        <v>884.58489009330799</v>
      </c>
      <c r="H121" s="9">
        <v>1846.3188643995982</v>
      </c>
      <c r="I121" s="24"/>
      <c r="J121" s="9">
        <v>9.8570133504281117</v>
      </c>
      <c r="K121" s="9">
        <v>9.9798422372375164</v>
      </c>
      <c r="L121" s="22">
        <v>857.63126419775278</v>
      </c>
      <c r="M121" s="22">
        <v>868.31826336568804</v>
      </c>
      <c r="N121" s="22">
        <v>440.55366733427115</v>
      </c>
    </row>
    <row r="122" spans="2:14" x14ac:dyDescent="0.25">
      <c r="B122" s="37">
        <v>118</v>
      </c>
      <c r="D122" s="9">
        <v>9.8556982355890437</v>
      </c>
      <c r="E122" s="9">
        <v>10.247485124703179</v>
      </c>
      <c r="F122" s="9">
        <v>850.249747858251</v>
      </c>
      <c r="G122" s="9">
        <v>884.04914955670927</v>
      </c>
      <c r="H122" s="9">
        <v>1863.4912109631446</v>
      </c>
      <c r="I122" s="24"/>
      <c r="J122" s="9">
        <v>9.9374008340284998</v>
      </c>
      <c r="K122" s="9">
        <v>10.061286306351073</v>
      </c>
      <c r="L122" s="22">
        <v>857.29821992608095</v>
      </c>
      <c r="M122" s="22">
        <v>867.9858027931383</v>
      </c>
      <c r="N122" s="22">
        <v>444.34335097277813</v>
      </c>
    </row>
    <row r="123" spans="2:14" x14ac:dyDescent="0.25">
      <c r="B123" s="37">
        <v>119</v>
      </c>
      <c r="D123" s="9">
        <v>9.9318425331994717</v>
      </c>
      <c r="E123" s="9">
        <v>10.326998159206154</v>
      </c>
      <c r="F123" s="9">
        <v>849.6185488748182</v>
      </c>
      <c r="G123" s="9">
        <v>883.42210027278463</v>
      </c>
      <c r="H123" s="9">
        <v>1879.5142371688294</v>
      </c>
      <c r="I123" s="24"/>
      <c r="J123" s="9">
        <v>10.020843404843479</v>
      </c>
      <c r="K123" s="9">
        <v>10.145779671763119</v>
      </c>
      <c r="L123" s="22">
        <v>857.23212018970855</v>
      </c>
      <c r="M123" s="22">
        <v>867.91978156243727</v>
      </c>
      <c r="N123" s="22">
        <v>448.11226417696821</v>
      </c>
    </row>
    <row r="124" spans="2:14" x14ac:dyDescent="0.25">
      <c r="B124" s="37">
        <v>120</v>
      </c>
      <c r="D124" s="9">
        <v>10.008236880448568</v>
      </c>
      <c r="E124" s="9">
        <v>10.406826211818496</v>
      </c>
      <c r="F124" s="9">
        <v>849.01908209366093</v>
      </c>
      <c r="G124" s="9">
        <v>882.83222543693239</v>
      </c>
      <c r="H124" s="9">
        <v>1895.8462787537499</v>
      </c>
      <c r="I124" s="24"/>
      <c r="J124" s="9">
        <v>10.106904561593034</v>
      </c>
      <c r="K124" s="9">
        <v>10.232908416766437</v>
      </c>
      <c r="L124" s="22">
        <v>857.38926208422799</v>
      </c>
      <c r="M124" s="22">
        <v>868.0784252942409</v>
      </c>
      <c r="N124" s="22">
        <v>451.94141164067588</v>
      </c>
    </row>
    <row r="125" spans="2:14" x14ac:dyDescent="0.25">
      <c r="B125" s="37">
        <v>121</v>
      </c>
      <c r="D125" s="9">
        <v>10.084929573174067</v>
      </c>
      <c r="E125" s="9">
        <v>10.487030116152964</v>
      </c>
      <c r="F125" s="9">
        <v>848.45462394028129</v>
      </c>
      <c r="G125" s="9">
        <v>882.28372135776249</v>
      </c>
      <c r="H125" s="9">
        <v>1912.5469702647774</v>
      </c>
      <c r="I125" s="24"/>
      <c r="J125" s="9">
        <v>10.191186292340216</v>
      </c>
      <c r="K125" s="9">
        <v>10.318246733026774</v>
      </c>
      <c r="L125" s="22">
        <v>857.39410180644836</v>
      </c>
      <c r="M125" s="22">
        <v>868.08381635905789</v>
      </c>
      <c r="N125" s="22">
        <v>455.73109527918263</v>
      </c>
    </row>
    <row r="126" spans="2:14" x14ac:dyDescent="0.25">
      <c r="B126" s="37">
        <v>122</v>
      </c>
      <c r="D126" s="9">
        <v>10.160370780809936</v>
      </c>
      <c r="E126" s="9">
        <v>10.565657693044361</v>
      </c>
      <c r="F126" s="9">
        <v>847.79499360136356</v>
      </c>
      <c r="G126" s="9">
        <v>881.61267826829146</v>
      </c>
      <c r="H126" s="9">
        <v>1927.7025848796179</v>
      </c>
      <c r="I126" s="24"/>
      <c r="J126" s="9">
        <v>10.282288459328567</v>
      </c>
      <c r="K126" s="9">
        <v>10.410414171902447</v>
      </c>
      <c r="L126" s="22">
        <v>857.96796855566492</v>
      </c>
      <c r="M126" s="22">
        <v>868.65895021520271</v>
      </c>
      <c r="N126" s="22">
        <v>459.55193456916328</v>
      </c>
    </row>
    <row r="127" spans="2:14" x14ac:dyDescent="0.25">
      <c r="B127" s="37">
        <v>123</v>
      </c>
      <c r="D127" s="9">
        <v>10.23689623106814</v>
      </c>
      <c r="E127" s="9">
        <v>10.645651042597745</v>
      </c>
      <c r="F127" s="9">
        <v>847.23582408682068</v>
      </c>
      <c r="G127" s="9">
        <v>881.06558183553273</v>
      </c>
      <c r="H127" s="9">
        <v>1944.1972661378215</v>
      </c>
      <c r="I127" s="24"/>
      <c r="J127" s="9">
        <v>10.36012783906172</v>
      </c>
      <c r="K127" s="9">
        <v>10.489295080766906</v>
      </c>
      <c r="L127" s="22">
        <v>857.43483661906862</v>
      </c>
      <c r="M127" s="22">
        <v>868.12509976142508</v>
      </c>
      <c r="N127" s="22">
        <v>463.28761507844808</v>
      </c>
    </row>
    <row r="128" spans="2:14" x14ac:dyDescent="0.25">
      <c r="B128" s="37">
        <v>124</v>
      </c>
      <c r="D128" s="9">
        <v>10.312907799930413</v>
      </c>
      <c r="E128" s="9">
        <v>10.724997154420629</v>
      </c>
      <c r="F128" s="9">
        <v>846.64348607711474</v>
      </c>
      <c r="G128" s="9">
        <v>880.47417422340266</v>
      </c>
      <c r="H128" s="9">
        <v>1960.057652670223</v>
      </c>
      <c r="I128" s="24"/>
      <c r="J128" s="9">
        <v>10.444861126061019</v>
      </c>
      <c r="K128" s="9">
        <v>10.575079162363265</v>
      </c>
      <c r="L128" s="22">
        <v>857.47626245813126</v>
      </c>
      <c r="M128" s="22">
        <v>868.16657932548401</v>
      </c>
      <c r="N128" s="22">
        <v>467.05652828263823</v>
      </c>
    </row>
    <row r="129" spans="2:14" x14ac:dyDescent="0.25">
      <c r="B129" s="37">
        <v>125</v>
      </c>
      <c r="D129" s="9">
        <v>10.389981656726</v>
      </c>
      <c r="E129" s="9">
        <v>10.805681385227837</v>
      </c>
      <c r="F129" s="9">
        <v>846.1471368788574</v>
      </c>
      <c r="G129" s="9">
        <v>880.00120387284915</v>
      </c>
      <c r="H129" s="9">
        <v>1977.2299992337691</v>
      </c>
      <c r="I129" s="24"/>
      <c r="J129" s="9">
        <v>10.529589443874604</v>
      </c>
      <c r="K129" s="9">
        <v>10.660878542980271</v>
      </c>
      <c r="L129" s="22">
        <v>857.51662079948721</v>
      </c>
      <c r="M129" s="22">
        <v>868.20864114966253</v>
      </c>
      <c r="N129" s="22">
        <v>470.89813800693582</v>
      </c>
    </row>
    <row r="130" spans="2:14" x14ac:dyDescent="0.25">
      <c r="B130" s="37">
        <v>126</v>
      </c>
      <c r="D130" s="9">
        <v>10.466673348716155</v>
      </c>
      <c r="E130" s="9">
        <v>10.885884288826963</v>
      </c>
      <c r="F130" s="9">
        <v>845.62779022271616</v>
      </c>
      <c r="G130" s="9">
        <v>879.49685340185636</v>
      </c>
      <c r="H130" s="9">
        <v>1993.9306907447965</v>
      </c>
      <c r="I130" s="24"/>
      <c r="J130" s="9">
        <v>10.607933073684604</v>
      </c>
      <c r="K130" s="9">
        <v>10.74026949283768</v>
      </c>
      <c r="L130" s="22">
        <v>857.04050418566703</v>
      </c>
      <c r="M130" s="22">
        <v>867.73228274471887</v>
      </c>
      <c r="N130" s="22">
        <v>474.65458895053672</v>
      </c>
    </row>
    <row r="131" spans="2:14" x14ac:dyDescent="0.25">
      <c r="B131" s="37">
        <v>127</v>
      </c>
      <c r="D131" s="9">
        <v>10.542135531052608</v>
      </c>
      <c r="E131" s="9">
        <v>10.9645385394076</v>
      </c>
      <c r="F131" s="9">
        <v>845.01806936877006</v>
      </c>
      <c r="G131" s="9">
        <v>878.87631123677761</v>
      </c>
      <c r="H131" s="9">
        <v>2009.1134119718531</v>
      </c>
      <c r="I131" s="24"/>
      <c r="J131" s="9">
        <v>10.702900426140294</v>
      </c>
      <c r="K131" s="9">
        <v>10.836307908096789</v>
      </c>
      <c r="L131" s="22">
        <v>857.90438076830719</v>
      </c>
      <c r="M131" s="22">
        <v>868.59782447429711</v>
      </c>
      <c r="N131" s="22">
        <v>478.49619867483364</v>
      </c>
    </row>
    <row r="132" spans="2:14" x14ac:dyDescent="0.25">
      <c r="B132" s="37">
        <v>128</v>
      </c>
      <c r="D132" s="9">
        <v>10.618638051001788</v>
      </c>
      <c r="E132" s="9">
        <v>11.044503259663301</v>
      </c>
      <c r="F132" s="9">
        <v>844.50061348576878</v>
      </c>
      <c r="G132" s="9">
        <v>878.36968673692479</v>
      </c>
      <c r="H132" s="9">
        <v>2025.5809866178442</v>
      </c>
      <c r="I132" s="24"/>
      <c r="J132" s="9">
        <v>10.785382460874903</v>
      </c>
      <c r="K132" s="9">
        <v>10.919846528344559</v>
      </c>
      <c r="L132" s="22">
        <v>857.76180157381009</v>
      </c>
      <c r="M132" s="22">
        <v>868.45573302947389</v>
      </c>
      <c r="N132" s="22">
        <v>482.28588231334038</v>
      </c>
    </row>
    <row r="133" spans="2:14" x14ac:dyDescent="0.25">
      <c r="B133" s="37">
        <v>129</v>
      </c>
      <c r="D133" s="9">
        <v>10.694648656974239</v>
      </c>
      <c r="E133" s="9">
        <v>11.123848408596364</v>
      </c>
      <c r="F133" s="9">
        <v>843.95236151157815</v>
      </c>
      <c r="G133" s="9">
        <v>877.82202432705185</v>
      </c>
      <c r="H133" s="9">
        <v>2041.4413731502432</v>
      </c>
      <c r="I133" s="24"/>
      <c r="J133" s="9">
        <v>10.867588194888432</v>
      </c>
      <c r="K133" s="9">
        <v>11.00309958240549</v>
      </c>
      <c r="L133" s="22">
        <v>857.59962904721851</v>
      </c>
      <c r="M133" s="22">
        <v>868.29330952003613</v>
      </c>
      <c r="N133" s="22">
        <v>486.04233325694122</v>
      </c>
    </row>
    <row r="134" spans="2:14" x14ac:dyDescent="0.25">
      <c r="B134" s="37">
        <v>130</v>
      </c>
      <c r="D134" s="9">
        <v>10.771721549802868</v>
      </c>
      <c r="E134" s="9">
        <v>11.204531675436606</v>
      </c>
      <c r="F134" s="9">
        <v>843.49572814042494</v>
      </c>
      <c r="G134" s="9">
        <v>877.38757081200413</v>
      </c>
      <c r="H134" s="9">
        <v>2058.6137197137919</v>
      </c>
      <c r="I134" s="24"/>
      <c r="J134" s="9">
        <v>10.949725847108196</v>
      </c>
      <c r="K134" s="9">
        <v>11.086296715596475</v>
      </c>
      <c r="L134" s="22">
        <v>857.43462023612994</v>
      </c>
      <c r="M134" s="22">
        <v>868.12900586666069</v>
      </c>
      <c r="N134" s="22">
        <v>489.84240211260601</v>
      </c>
    </row>
    <row r="135" spans="2:14" x14ac:dyDescent="0.25">
      <c r="B135" s="37">
        <v>131</v>
      </c>
      <c r="D135" s="9">
        <v>10.84786349462926</v>
      </c>
      <c r="E135" s="9">
        <v>11.28404235715556</v>
      </c>
      <c r="F135" s="9">
        <v>842.97372348176032</v>
      </c>
      <c r="G135" s="9">
        <v>876.86863007141949</v>
      </c>
      <c r="H135" s="9">
        <v>2074.6367459194735</v>
      </c>
      <c r="I135" s="24"/>
      <c r="J135" s="9">
        <v>11.033178667234621</v>
      </c>
      <c r="K135" s="9">
        <v>11.170800330319958</v>
      </c>
      <c r="L135" s="22">
        <v>857.37433067470181</v>
      </c>
      <c r="M135" s="22">
        <v>868.06873569005211</v>
      </c>
      <c r="N135" s="22">
        <v>493.61131531679609</v>
      </c>
    </row>
    <row r="136" spans="2:14" x14ac:dyDescent="0.25">
      <c r="B136" s="37">
        <v>132</v>
      </c>
      <c r="D136" s="9">
        <v>10.924255507394692</v>
      </c>
      <c r="E136" s="9">
        <v>11.363868075284229</v>
      </c>
      <c r="F136" s="9">
        <v>842.47891323156898</v>
      </c>
      <c r="G136" s="9">
        <v>876.3818476867192</v>
      </c>
      <c r="H136" s="9">
        <v>2090.9687875043946</v>
      </c>
      <c r="I136" s="24"/>
      <c r="J136" s="9">
        <v>11.114936216530278</v>
      </c>
      <c r="K136" s="9">
        <v>11.253610990579128</v>
      </c>
      <c r="L136" s="22">
        <v>857.18421525403005</v>
      </c>
      <c r="M136" s="22">
        <v>867.87881799874117</v>
      </c>
      <c r="N136" s="22">
        <v>497.38853669471365</v>
      </c>
    </row>
    <row r="137" spans="2:14" x14ac:dyDescent="0.25">
      <c r="B137" s="37">
        <v>133</v>
      </c>
      <c r="D137" s="9">
        <v>11.000945882255694</v>
      </c>
      <c r="E137" s="9">
        <v>11.444069661754204</v>
      </c>
      <c r="F137" s="9">
        <v>842.01438042558561</v>
      </c>
      <c r="G137" s="9">
        <v>875.93115436846188</v>
      </c>
      <c r="H137" s="9">
        <v>2107.669479015422</v>
      </c>
      <c r="I137" s="24"/>
      <c r="J137" s="9">
        <v>11.200115676074097</v>
      </c>
      <c r="K137" s="9">
        <v>11.339855722010263</v>
      </c>
      <c r="L137" s="22">
        <v>857.25887233895799</v>
      </c>
      <c r="M137" s="22">
        <v>867.95460063895553</v>
      </c>
      <c r="N137" s="22">
        <v>501.20937598469442</v>
      </c>
    </row>
    <row r="138" spans="2:14" x14ac:dyDescent="0.25">
      <c r="B138" s="37">
        <v>134</v>
      </c>
      <c r="D138" s="9">
        <v>11.076406778199907</v>
      </c>
      <c r="E138" s="9">
        <v>11.522722625942604</v>
      </c>
      <c r="F138" s="9">
        <v>841.46337867986711</v>
      </c>
      <c r="G138" s="9">
        <v>875.36954055350805</v>
      </c>
      <c r="H138" s="9">
        <v>2122.8522002424806</v>
      </c>
      <c r="I138" s="24"/>
      <c r="J138" s="9">
        <v>11.290730703175329</v>
      </c>
      <c r="K138" s="9">
        <v>11.431527334624656</v>
      </c>
      <c r="L138" s="22">
        <v>857.74534968843443</v>
      </c>
      <c r="M138" s="22">
        <v>868.44152684935921</v>
      </c>
      <c r="N138" s="22">
        <v>504.99905962320128</v>
      </c>
    </row>
    <row r="139" spans="2:14" x14ac:dyDescent="0.25">
      <c r="B139" s="37">
        <v>135</v>
      </c>
      <c r="D139" s="9">
        <v>11.152908009555302</v>
      </c>
      <c r="E139" s="9">
        <v>11.602686057604531</v>
      </c>
      <c r="F139" s="9">
        <v>840.99898771676374</v>
      </c>
      <c r="G139" s="9">
        <v>874.91506438327485</v>
      </c>
      <c r="H139" s="9">
        <v>2139.3197748884695</v>
      </c>
      <c r="I139" s="24"/>
      <c r="J139" s="9">
        <v>11.374961237447067</v>
      </c>
      <c r="K139" s="9">
        <v>11.516825457150162</v>
      </c>
      <c r="L139" s="22">
        <v>857.7431892932691</v>
      </c>
      <c r="M139" s="22">
        <v>868.44063834075632</v>
      </c>
      <c r="N139" s="22">
        <v>508.82820708690832</v>
      </c>
    </row>
    <row r="140" spans="2:14" x14ac:dyDescent="0.25">
      <c r="B140" s="37">
        <v>136</v>
      </c>
      <c r="D140" s="9">
        <v>11.22891734655477</v>
      </c>
      <c r="E140" s="9">
        <v>11.682029937564606</v>
      </c>
      <c r="F140" s="9">
        <v>840.50460685758264</v>
      </c>
      <c r="G140" s="9">
        <v>874.42089712984045</v>
      </c>
      <c r="H140" s="9">
        <v>2155.1801614208707</v>
      </c>
      <c r="I140" s="24"/>
      <c r="J140" s="9">
        <v>11.457120102182415</v>
      </c>
      <c r="K140" s="9">
        <v>11.600023534650363</v>
      </c>
      <c r="L140" s="22">
        <v>857.58599248746975</v>
      </c>
      <c r="M140" s="22">
        <v>868.28257076105763</v>
      </c>
      <c r="N140" s="22">
        <v>512.55557942246685</v>
      </c>
    </row>
    <row r="141" spans="2:14" x14ac:dyDescent="0.25">
      <c r="B141" s="37">
        <v>137</v>
      </c>
      <c r="D141" s="9">
        <v>11.306274338228015</v>
      </c>
      <c r="E141" s="9">
        <v>11.763071390102002</v>
      </c>
      <c r="F141" s="9">
        <v>840.11758129783254</v>
      </c>
      <c r="G141" s="9">
        <v>874.06008285794428</v>
      </c>
      <c r="H141" s="9">
        <v>2172.7048939431952</v>
      </c>
      <c r="I141" s="24"/>
      <c r="J141" s="9">
        <v>11.532549059905378</v>
      </c>
      <c r="K141" s="9">
        <v>11.676509077886488</v>
      </c>
      <c r="L141" s="22">
        <v>856.9310218882207</v>
      </c>
      <c r="M141" s="22">
        <v>867.62803298947767</v>
      </c>
      <c r="N141" s="22">
        <v>516.34526306097382</v>
      </c>
    </row>
    <row r="142" spans="2:14" x14ac:dyDescent="0.25">
      <c r="B142" s="37">
        <v>138</v>
      </c>
      <c r="D142" s="9">
        <v>11.382415035979077</v>
      </c>
      <c r="E142" s="9">
        <v>11.842580824745616</v>
      </c>
      <c r="F142" s="9">
        <v>839.64644246830551</v>
      </c>
      <c r="G142" s="9">
        <v>873.59148543696676</v>
      </c>
      <c r="H142" s="9">
        <v>2188.7279201488773</v>
      </c>
      <c r="I142" s="24"/>
      <c r="J142" s="9">
        <v>11.617745237419328</v>
      </c>
      <c r="K142" s="9">
        <v>11.762767052738107</v>
      </c>
      <c r="L142" s="22">
        <v>857.00604197509494</v>
      </c>
      <c r="M142" s="22">
        <v>867.70386409173818</v>
      </c>
      <c r="N142" s="22">
        <v>520.153640090365</v>
      </c>
    </row>
    <row r="143" spans="2:14" x14ac:dyDescent="0.25">
      <c r="B143" s="37">
        <v>139</v>
      </c>
      <c r="D143" s="9">
        <v>11.458423853600522</v>
      </c>
      <c r="E143" s="9">
        <v>11.92192418532767</v>
      </c>
      <c r="F143" s="9">
        <v>839.17242420364812</v>
      </c>
      <c r="G143" s="9">
        <v>873.11746777719736</v>
      </c>
      <c r="H143" s="9">
        <v>2204.5883066812789</v>
      </c>
      <c r="I143" s="24"/>
      <c r="J143" s="9">
        <v>11.705809463448894</v>
      </c>
      <c r="K143" s="9">
        <v>11.85188786428084</v>
      </c>
      <c r="L143" s="22">
        <v>857.29002786205376</v>
      </c>
      <c r="M143" s="22">
        <v>867.98826763011914</v>
      </c>
      <c r="N143" s="22">
        <v>523.94332372887129</v>
      </c>
    </row>
    <row r="144" spans="2:14" x14ac:dyDescent="0.25">
      <c r="B144" s="37">
        <v>140</v>
      </c>
      <c r="D144" s="9">
        <v>11.535780322262422</v>
      </c>
      <c r="E144" s="9">
        <v>12.002965114853719</v>
      </c>
      <c r="F144" s="9">
        <v>838.803169609321</v>
      </c>
      <c r="G144" s="9">
        <v>872.77365741954645</v>
      </c>
      <c r="H144" s="9">
        <v>2222.1130392036066</v>
      </c>
      <c r="I144" s="24"/>
      <c r="J144" s="9">
        <v>11.782173936635212</v>
      </c>
      <c r="K144" s="9">
        <v>11.929317609354481</v>
      </c>
      <c r="L144" s="22">
        <v>856.71923067616888</v>
      </c>
      <c r="M144" s="22">
        <v>867.41851374301837</v>
      </c>
      <c r="N144" s="22">
        <v>527.7641630188524</v>
      </c>
    </row>
    <row r="145" spans="2:14" x14ac:dyDescent="0.25">
      <c r="B145" s="37">
        <v>141</v>
      </c>
      <c r="D145" s="9">
        <v>11.611218063878773</v>
      </c>
      <c r="E145" s="9">
        <v>12.081589225725601</v>
      </c>
      <c r="F145" s="9">
        <v>838.30062542098869</v>
      </c>
      <c r="G145" s="9">
        <v>872.26023560029068</v>
      </c>
      <c r="H145" s="9">
        <v>2237.2686538184489</v>
      </c>
      <c r="I145" s="24"/>
      <c r="J145" s="9">
        <v>11.86974375817787</v>
      </c>
      <c r="K145" s="9">
        <v>12.017940541860645</v>
      </c>
      <c r="L145" s="22">
        <v>856.96552776164219</v>
      </c>
      <c r="M145" s="22">
        <v>867.66496134071906</v>
      </c>
      <c r="N145" s="22">
        <v>531.5413843967691</v>
      </c>
    </row>
    <row r="146" spans="2:14" x14ac:dyDescent="0.25">
      <c r="B146" s="37">
        <v>142</v>
      </c>
      <c r="D146" s="9">
        <v>11.687740039876838</v>
      </c>
      <c r="E146" s="9">
        <v>12.161579101018843</v>
      </c>
      <c r="F146" s="9">
        <v>837.88288704398485</v>
      </c>
      <c r="G146" s="9">
        <v>871.8519554172799</v>
      </c>
      <c r="H146" s="9">
        <v>2253.7633350766505</v>
      </c>
      <c r="I146" s="24"/>
      <c r="J146" s="9">
        <v>11.952772814375917</v>
      </c>
      <c r="K146" s="9">
        <v>12.102026183571843</v>
      </c>
      <c r="L146" s="22">
        <v>856.88283275640731</v>
      </c>
      <c r="M146" s="22">
        <v>867.58266381495662</v>
      </c>
      <c r="N146" s="22">
        <v>535.33106803527517</v>
      </c>
    </row>
    <row r="147" spans="2:14" x14ac:dyDescent="0.25">
      <c r="B147" s="37">
        <v>143</v>
      </c>
      <c r="D147" s="9">
        <v>11.764714046733211</v>
      </c>
      <c r="E147" s="9">
        <v>12.242138406336734</v>
      </c>
      <c r="F147" s="9">
        <v>837.50317020796695</v>
      </c>
      <c r="G147" s="9">
        <v>871.48992187181102</v>
      </c>
      <c r="H147" s="9">
        <v>2270.8164125464582</v>
      </c>
      <c r="I147" s="24"/>
      <c r="J147" s="9">
        <v>12.030375761312493</v>
      </c>
      <c r="K147" s="9">
        <v>12.180682820563543</v>
      </c>
      <c r="L147" s="22">
        <v>856.41502197752311</v>
      </c>
      <c r="M147" s="22">
        <v>867.11503883533578</v>
      </c>
      <c r="N147" s="22">
        <v>539.11036645662409</v>
      </c>
    </row>
    <row r="148" spans="2:14" x14ac:dyDescent="0.25">
      <c r="B148" s="37">
        <v>144</v>
      </c>
      <c r="D148" s="9">
        <v>11.841103982522545</v>
      </c>
      <c r="E148" s="9">
        <v>12.321962047489315</v>
      </c>
      <c r="F148" s="9">
        <v>837.08743727016122</v>
      </c>
      <c r="G148" s="9">
        <v>871.08090999769081</v>
      </c>
      <c r="H148" s="9">
        <v>2287.1484541313785</v>
      </c>
      <c r="I148" s="24"/>
      <c r="J148" s="9">
        <v>12.114671194162703</v>
      </c>
      <c r="K148" s="9">
        <v>12.26603483892692</v>
      </c>
      <c r="L148" s="22">
        <v>856.42682289256663</v>
      </c>
      <c r="M148" s="22">
        <v>867.12722765875776</v>
      </c>
      <c r="N148" s="22">
        <v>542.90005009513163</v>
      </c>
    </row>
    <row r="149" spans="2:14" x14ac:dyDescent="0.25">
      <c r="B149" s="37">
        <v>145</v>
      </c>
      <c r="D149" s="9">
        <v>11.917792292061469</v>
      </c>
      <c r="E149" s="9">
        <v>12.402161568637204</v>
      </c>
      <c r="F149" s="9">
        <v>836.69838615367257</v>
      </c>
      <c r="G149" s="9">
        <v>870.70392863013399</v>
      </c>
      <c r="H149" s="9">
        <v>2303.8491456424053</v>
      </c>
      <c r="I149" s="24"/>
      <c r="J149" s="9">
        <v>12.197360164394542</v>
      </c>
      <c r="K149" s="9">
        <v>12.34978560649642</v>
      </c>
      <c r="L149" s="22">
        <v>856.32567801017785</v>
      </c>
      <c r="M149" s="22">
        <v>867.02683123470183</v>
      </c>
      <c r="N149" s="22">
        <v>546.70842712452315</v>
      </c>
    </row>
    <row r="150" spans="2:14" x14ac:dyDescent="0.25">
      <c r="B150" s="37">
        <v>146</v>
      </c>
      <c r="D150" s="9">
        <v>11.993251171944266</v>
      </c>
      <c r="E150" s="9">
        <v>12.4808125167642</v>
      </c>
      <c r="F150" s="9">
        <v>836.22894257254177</v>
      </c>
      <c r="G150" s="9">
        <v>870.22413720098245</v>
      </c>
      <c r="H150" s="9">
        <v>2319.0318668694626</v>
      </c>
      <c r="I150" s="24"/>
      <c r="J150" s="9">
        <v>12.287902671142712</v>
      </c>
      <c r="K150" s="9">
        <v>12.441384698757751</v>
      </c>
      <c r="L150" s="22">
        <v>856.77350618332673</v>
      </c>
      <c r="M150" s="22">
        <v>867.47503421908175</v>
      </c>
      <c r="N150" s="22">
        <v>550.49811076302922</v>
      </c>
    </row>
    <row r="151" spans="2:14" x14ac:dyDescent="0.25">
      <c r="B151" s="37">
        <v>147</v>
      </c>
      <c r="D151" s="9">
        <v>12.070035744703187</v>
      </c>
      <c r="E151" s="9">
        <v>12.561133376682186</v>
      </c>
      <c r="F151" s="9">
        <v>835.85769105802683</v>
      </c>
      <c r="G151" s="9">
        <v>869.86651600539028</v>
      </c>
      <c r="H151" s="9">
        <v>2335.85182747423</v>
      </c>
      <c r="I151" s="24"/>
      <c r="J151" s="9">
        <v>12.366341339955351</v>
      </c>
      <c r="K151" s="9">
        <v>12.520888639457702</v>
      </c>
      <c r="L151" s="22">
        <v>856.37704294178036</v>
      </c>
      <c r="M151" s="22">
        <v>867.07954222625665</v>
      </c>
      <c r="N151" s="22">
        <v>554.31895005301021</v>
      </c>
    </row>
    <row r="152" spans="2:14" x14ac:dyDescent="0.25">
      <c r="B152" s="37">
        <v>148</v>
      </c>
      <c r="D152" s="9">
        <v>12.146723572051711</v>
      </c>
      <c r="E152" s="9">
        <v>12.641332415639695</v>
      </c>
      <c r="F152" s="9">
        <v>835.48480204247448</v>
      </c>
      <c r="G152" s="9">
        <v>869.50534835048302</v>
      </c>
      <c r="H152" s="9">
        <v>2352.5525189852578</v>
      </c>
      <c r="I152" s="24"/>
      <c r="J152" s="9">
        <v>12.448148617080975</v>
      </c>
      <c r="K152" s="9">
        <v>12.603749027546833</v>
      </c>
      <c r="L152" s="22">
        <v>856.21763938606614</v>
      </c>
      <c r="M152" s="22">
        <v>866.92026033274794</v>
      </c>
      <c r="N152" s="22">
        <v>558.09617143092726</v>
      </c>
    </row>
    <row r="153" spans="2:14" x14ac:dyDescent="0.25">
      <c r="B153" s="37">
        <v>149</v>
      </c>
      <c r="D153" s="9">
        <v>12.223112706235488</v>
      </c>
      <c r="E153" s="9">
        <v>12.721155255186714</v>
      </c>
      <c r="F153" s="9">
        <v>835.0965112028905</v>
      </c>
      <c r="G153" s="9">
        <v>869.12332622584199</v>
      </c>
      <c r="H153" s="9">
        <v>2368.8845605701777</v>
      </c>
      <c r="I153" s="24"/>
      <c r="J153" s="9">
        <v>12.532446244804136</v>
      </c>
      <c r="K153" s="9">
        <v>12.68910324078316</v>
      </c>
      <c r="L153" s="22">
        <v>856.23051896876359</v>
      </c>
      <c r="M153" s="22">
        <v>866.93349732965771</v>
      </c>
      <c r="N153" s="22">
        <v>561.88585506943298</v>
      </c>
    </row>
    <row r="154" spans="2:14" x14ac:dyDescent="0.25">
      <c r="B154" s="37">
        <v>150</v>
      </c>
      <c r="D154" s="9">
        <v>12.299536805784408</v>
      </c>
      <c r="E154" s="9">
        <v>12.801022178480718</v>
      </c>
      <c r="F154" s="9">
        <v>834.71577052091072</v>
      </c>
      <c r="G154" s="9">
        <v>868.7493895006354</v>
      </c>
      <c r="H154" s="9">
        <v>2385.2599727346424</v>
      </c>
      <c r="I154" s="24"/>
      <c r="J154" s="9">
        <v>12.612594691029619</v>
      </c>
      <c r="K154" s="9">
        <v>12.770305377063764</v>
      </c>
      <c r="L154" s="22">
        <v>855.9616400220458</v>
      </c>
      <c r="M154" s="22">
        <v>866.66477452955519</v>
      </c>
      <c r="N154" s="22">
        <v>565.66515349078179</v>
      </c>
    </row>
    <row r="155" spans="2:14" x14ac:dyDescent="0.25">
      <c r="B155" s="37">
        <v>151</v>
      </c>
      <c r="D155" s="9">
        <v>12.375925628689217</v>
      </c>
      <c r="E155" s="9">
        <v>12.880844706748773</v>
      </c>
      <c r="F155" s="9">
        <v>834.33769454509718</v>
      </c>
      <c r="G155" s="9">
        <v>868.37741263644318</v>
      </c>
      <c r="H155" s="9">
        <v>2401.5920143195622</v>
      </c>
      <c r="I155" s="24"/>
      <c r="J155" s="9">
        <v>12.694408241467967</v>
      </c>
      <c r="K155" s="9">
        <v>12.853172038465608</v>
      </c>
      <c r="L155" s="22">
        <v>855.80857735991776</v>
      </c>
      <c r="M155" s="22">
        <v>866.51182690572705</v>
      </c>
      <c r="N155" s="22">
        <v>569.44237486869997</v>
      </c>
    </row>
    <row r="156" spans="2:14" x14ac:dyDescent="0.25">
      <c r="B156" s="37">
        <v>152</v>
      </c>
      <c r="D156" s="9">
        <v>12.452612830406419</v>
      </c>
      <c r="E156" s="9">
        <v>12.961043120074965</v>
      </c>
      <c r="F156" s="9">
        <v>833.98457647524162</v>
      </c>
      <c r="G156" s="9">
        <v>868.03550422600563</v>
      </c>
      <c r="H156" s="9">
        <v>2418.2927058305895</v>
      </c>
      <c r="I156" s="24"/>
      <c r="J156" s="9">
        <v>12.779600291375694</v>
      </c>
      <c r="K156" s="9">
        <v>12.939429360260656</v>
      </c>
      <c r="L156" s="22">
        <v>855.88379576866555</v>
      </c>
      <c r="M156" s="22">
        <v>866.58797328850153</v>
      </c>
      <c r="N156" s="22">
        <v>573.26321415868108</v>
      </c>
    </row>
    <row r="157" spans="2:14" x14ac:dyDescent="0.25">
      <c r="B157" s="37">
        <v>153</v>
      </c>
      <c r="D157" s="9">
        <v>12.52890476274294</v>
      </c>
      <c r="E157" s="9">
        <v>13.040743682224626</v>
      </c>
      <c r="F157" s="9">
        <v>833.6097751081212</v>
      </c>
      <c r="G157" s="9">
        <v>867.66494071441639</v>
      </c>
      <c r="H157" s="9">
        <v>2434.5054783217679</v>
      </c>
      <c r="I157" s="24"/>
      <c r="J157" s="9">
        <v>12.862663797896587</v>
      </c>
      <c r="K157" s="9">
        <v>13.023549452294722</v>
      </c>
      <c r="L157" s="22">
        <v>855.81640844945605</v>
      </c>
      <c r="M157" s="22">
        <v>866.52092386566142</v>
      </c>
      <c r="N157" s="22">
        <v>577.05289779718737</v>
      </c>
    </row>
    <row r="158" spans="2:14" x14ac:dyDescent="0.25">
      <c r="B158" s="37">
        <v>154</v>
      </c>
      <c r="D158" s="9">
        <v>12.604854111354767</v>
      </c>
      <c r="E158" s="9">
        <v>13.120012756426547</v>
      </c>
      <c r="F158" s="9">
        <v>833.21719551938008</v>
      </c>
      <c r="G158" s="9">
        <v>867.27066711867474</v>
      </c>
      <c r="H158" s="9">
        <v>2450.2953876624142</v>
      </c>
      <c r="I158" s="24"/>
      <c r="J158" s="9">
        <v>12.9452285034016</v>
      </c>
      <c r="K158" s="9">
        <v>13.107167268763233</v>
      </c>
      <c r="L158" s="22">
        <v>855.71692410508399</v>
      </c>
      <c r="M158" s="22">
        <v>866.42154335164412</v>
      </c>
      <c r="N158" s="22">
        <v>580.83011917510385</v>
      </c>
    </row>
    <row r="159" spans="2:14" x14ac:dyDescent="0.25">
      <c r="B159" s="37">
        <v>155</v>
      </c>
      <c r="D159" s="9">
        <v>12.681540858112278</v>
      </c>
      <c r="E159" s="9">
        <v>13.200210714793039</v>
      </c>
      <c r="F159" s="9">
        <v>832.87811113866371</v>
      </c>
      <c r="G159" s="9">
        <v>866.94248670391653</v>
      </c>
      <c r="H159" s="9">
        <v>2466.996079173442</v>
      </c>
      <c r="I159" s="24"/>
      <c r="J159" s="9">
        <v>13.030418812160397</v>
      </c>
      <c r="K159" s="9">
        <v>13.193422849409352</v>
      </c>
      <c r="L159" s="22">
        <v>855.7911636325681</v>
      </c>
      <c r="M159" s="22">
        <v>866.49668405558816</v>
      </c>
      <c r="N159" s="22">
        <v>584.65095846508484</v>
      </c>
    </row>
    <row r="160" spans="2:14" x14ac:dyDescent="0.25">
      <c r="B160" s="37">
        <v>156</v>
      </c>
      <c r="D160" s="9">
        <v>12.758214284387808</v>
      </c>
      <c r="E160" s="9">
        <v>13.280391933284344</v>
      </c>
      <c r="F160" s="9">
        <v>832.54250476008383</v>
      </c>
      <c r="G160" s="9">
        <v>866.61742136295334</v>
      </c>
      <c r="H160" s="9">
        <v>2483.6805067171426</v>
      </c>
      <c r="I160" s="24"/>
      <c r="J160" s="9">
        <v>13.109780872215094</v>
      </c>
      <c r="K160" s="9">
        <v>13.273841494977217</v>
      </c>
      <c r="L160" s="22">
        <v>855.48412661212103</v>
      </c>
      <c r="M160" s="22">
        <v>866.18996982514955</v>
      </c>
      <c r="N160" s="22">
        <v>588.4406421035909</v>
      </c>
    </row>
    <row r="161" spans="2:14" x14ac:dyDescent="0.25">
      <c r="B161" s="37">
        <v>157</v>
      </c>
      <c r="D161" s="9">
        <v>12.83490073226621</v>
      </c>
      <c r="E161" s="9">
        <v>13.360589592771726</v>
      </c>
      <c r="F161" s="9">
        <v>832.21201793973751</v>
      </c>
      <c r="G161" s="9">
        <v>866.29756301216059</v>
      </c>
      <c r="H161" s="9">
        <v>2500.3811982281704</v>
      </c>
      <c r="I161" s="24"/>
      <c r="J161" s="9">
        <v>13.189948517378529</v>
      </c>
      <c r="K161" s="9">
        <v>13.355059355646105</v>
      </c>
      <c r="L161" s="22">
        <v>855.23323484487094</v>
      </c>
      <c r="M161" s="22">
        <v>865.93898370609486</v>
      </c>
      <c r="N161" s="22">
        <v>592.20747826435024</v>
      </c>
    </row>
    <row r="162" spans="2:14" x14ac:dyDescent="0.25">
      <c r="B162" s="37">
        <v>158</v>
      </c>
      <c r="D162" s="9">
        <v>12.910739737534282</v>
      </c>
      <c r="E162" s="9">
        <v>13.439719828686622</v>
      </c>
      <c r="F162" s="9">
        <v>831.83111428454606</v>
      </c>
      <c r="G162" s="9">
        <v>865.91298004924363</v>
      </c>
      <c r="H162" s="9">
        <v>2516.0355745077441</v>
      </c>
      <c r="I162" s="24"/>
      <c r="J162" s="9">
        <v>13.27673181136679</v>
      </c>
      <c r="K162" s="9">
        <v>13.442899235147541</v>
      </c>
      <c r="L162" s="22">
        <v>855.41176115564087</v>
      </c>
      <c r="M162" s="22">
        <v>866.11782727511263</v>
      </c>
      <c r="N162" s="22">
        <v>595.99716190285801</v>
      </c>
    </row>
    <row r="163" spans="2:14" x14ac:dyDescent="0.25">
      <c r="B163" s="37">
        <v>159</v>
      </c>
      <c r="D163" s="9">
        <v>13.026392257945671</v>
      </c>
      <c r="E163" s="9">
        <v>13.557160516417197</v>
      </c>
      <c r="F163" s="9">
        <v>803.67661011762482</v>
      </c>
      <c r="G163" s="9">
        <v>836.42290136079214</v>
      </c>
      <c r="H163" s="9">
        <v>2551.3644645966911</v>
      </c>
      <c r="I163" s="24"/>
      <c r="J163" s="9">
        <v>13.23455735746654</v>
      </c>
      <c r="K163" s="9">
        <v>13.386080199699149</v>
      </c>
      <c r="L163" s="22">
        <v>816.51956910542003</v>
      </c>
      <c r="M163" s="22">
        <v>825.86792602493563</v>
      </c>
      <c r="N163" s="22">
        <v>543.44276781638223</v>
      </c>
    </row>
    <row r="164" spans="2:14" x14ac:dyDescent="0.25">
      <c r="B164" s="37">
        <v>160</v>
      </c>
      <c r="D164" s="9">
        <v>13.101571807078937</v>
      </c>
      <c r="E164" s="9">
        <v>13.6354014016429</v>
      </c>
      <c r="F164" s="9">
        <v>803.44552258596741</v>
      </c>
      <c r="G164" s="9">
        <v>836.1822814948913</v>
      </c>
      <c r="H164" s="9">
        <v>2566.0800848241515</v>
      </c>
      <c r="I164" s="24"/>
      <c r="J164" s="9">
        <v>13.325131956217323</v>
      </c>
      <c r="K164" s="9">
        <v>13.477574720883078</v>
      </c>
      <c r="L164" s="22">
        <v>817.15520593532221</v>
      </c>
      <c r="M164" s="22">
        <v>826.5036611073308</v>
      </c>
      <c r="N164" s="22">
        <v>546.7420848667316</v>
      </c>
    </row>
    <row r="165" spans="2:14" x14ac:dyDescent="0.25">
      <c r="B165" s="37">
        <v>161</v>
      </c>
      <c r="D165" s="9">
        <v>13.17739484013233</v>
      </c>
      <c r="E165" s="9">
        <v>13.714449738332656</v>
      </c>
      <c r="F165" s="9">
        <v>803.25642751519069</v>
      </c>
      <c r="G165" s="9">
        <v>835.99376324365369</v>
      </c>
      <c r="H165" s="9">
        <v>2581.5838851249096</v>
      </c>
      <c r="I165" s="24"/>
      <c r="J165" s="9">
        <v>13.405118650982843</v>
      </c>
      <c r="K165" s="9">
        <v>13.558479121129515</v>
      </c>
      <c r="L165" s="22">
        <v>817.13782190179847</v>
      </c>
      <c r="M165" s="22">
        <v>826.48623901053475</v>
      </c>
      <c r="N165" s="22">
        <v>550.03348083114952</v>
      </c>
    </row>
    <row r="166" spans="2:14" x14ac:dyDescent="0.25">
      <c r="B166" s="37">
        <v>162</v>
      </c>
      <c r="D166" s="9">
        <v>13.2537626414267</v>
      </c>
      <c r="E166" s="9">
        <v>13.794181669117224</v>
      </c>
      <c r="F166" s="9">
        <v>803.102593431522</v>
      </c>
      <c r="G166" s="9">
        <v>835.8489111693566</v>
      </c>
      <c r="H166" s="9">
        <v>2597.7550112210729</v>
      </c>
      <c r="I166" s="24"/>
      <c r="J166" s="9">
        <v>13.481526058964572</v>
      </c>
      <c r="K166" s="9">
        <v>13.635805958888348</v>
      </c>
      <c r="L166" s="22">
        <v>816.90376041045636</v>
      </c>
      <c r="M166" s="22">
        <v>826.25224439159115</v>
      </c>
      <c r="N166" s="22">
        <v>553.33103764018108</v>
      </c>
    </row>
    <row r="167" spans="2:14" x14ac:dyDescent="0.25">
      <c r="B167" s="37">
        <v>163</v>
      </c>
      <c r="D167" s="9">
        <v>13.330143084222104</v>
      </c>
      <c r="E167" s="9">
        <v>13.873929520753693</v>
      </c>
      <c r="F167" s="9">
        <v>802.95134134001557</v>
      </c>
      <c r="G167" s="9">
        <v>835.70673232545494</v>
      </c>
      <c r="H167" s="9">
        <v>2613.9419009186959</v>
      </c>
      <c r="I167" s="24"/>
      <c r="J167" s="9">
        <v>13.563591378364267</v>
      </c>
      <c r="K167" s="9">
        <v>13.718791151455603</v>
      </c>
      <c r="L167" s="22">
        <v>817.01327748958738</v>
      </c>
      <c r="M167" s="22">
        <v>826.36185425969393</v>
      </c>
      <c r="N167" s="22">
        <v>556.63017866639757</v>
      </c>
    </row>
    <row r="168" spans="2:14" x14ac:dyDescent="0.25">
      <c r="B168" s="37">
        <v>164</v>
      </c>
      <c r="D168" s="9">
        <v>13.406360230380349</v>
      </c>
      <c r="E168" s="9">
        <v>13.953472537308555</v>
      </c>
      <c r="F168" s="9">
        <v>802.79209024789748</v>
      </c>
      <c r="G168" s="9">
        <v>835.55396035518629</v>
      </c>
      <c r="H168" s="9">
        <v>2629.9291183310838</v>
      </c>
      <c r="I168" s="24"/>
      <c r="J168" s="9">
        <v>13.643640380360273</v>
      </c>
      <c r="K168" s="9">
        <v>13.799759583228711</v>
      </c>
      <c r="L168" s="22">
        <v>817.00076615271553</v>
      </c>
      <c r="M168" s="22">
        <v>826.34940806930183</v>
      </c>
      <c r="N168" s="22">
        <v>559.92773547542913</v>
      </c>
    </row>
    <row r="169" spans="2:14" x14ac:dyDescent="0.25">
      <c r="B169" s="37">
        <v>165</v>
      </c>
      <c r="D169" s="9">
        <v>13.482354009318989</v>
      </c>
      <c r="E169" s="9">
        <v>14.032735344561923</v>
      </c>
      <c r="F169" s="9">
        <v>802.62140441157328</v>
      </c>
      <c r="G169" s="9">
        <v>835.38629398124817</v>
      </c>
      <c r="H169" s="9">
        <v>2645.643099984728</v>
      </c>
      <c r="I169" s="24"/>
      <c r="J169" s="9">
        <v>13.722887546968817</v>
      </c>
      <c r="K169" s="9">
        <v>13.879925440630281</v>
      </c>
      <c r="L169" s="22">
        <v>816.94066688333066</v>
      </c>
      <c r="M169" s="22">
        <v>826.28932919180284</v>
      </c>
      <c r="N169" s="22">
        <v>563.22265192248267</v>
      </c>
    </row>
    <row r="170" spans="2:14" x14ac:dyDescent="0.25">
      <c r="B170" s="37">
        <v>166</v>
      </c>
      <c r="D170" s="9">
        <v>13.559107092142925</v>
      </c>
      <c r="E170" s="9">
        <v>14.112950937402395</v>
      </c>
      <c r="F170" s="9">
        <v>802.49764280054148</v>
      </c>
      <c r="G170" s="9">
        <v>835.27696796405939</v>
      </c>
      <c r="H170" s="9">
        <v>2662.2871341248756</v>
      </c>
      <c r="I170" s="24"/>
      <c r="J170" s="9">
        <v>13.801326659293913</v>
      </c>
      <c r="K170" s="9">
        <v>13.959284426122926</v>
      </c>
      <c r="L170" s="22">
        <v>816.83344163728589</v>
      </c>
      <c r="M170" s="22">
        <v>826.18219407953006</v>
      </c>
      <c r="N170" s="22">
        <v>566.52179294870075</v>
      </c>
    </row>
    <row r="171" spans="2:14" x14ac:dyDescent="0.25">
      <c r="B171" s="37">
        <v>167</v>
      </c>
      <c r="D171" s="9">
        <v>13.634263661625152</v>
      </c>
      <c r="E171" s="9">
        <v>14.19116337739227</v>
      </c>
      <c r="F171" s="9">
        <v>802.28136827915364</v>
      </c>
      <c r="G171" s="9">
        <v>835.05103425073412</v>
      </c>
      <c r="H171" s="9">
        <v>2676.9764816832212</v>
      </c>
      <c r="I171" s="24"/>
      <c r="J171" s="9">
        <v>13.888121293748739</v>
      </c>
      <c r="K171" s="9">
        <v>14.046998490354863</v>
      </c>
      <c r="L171" s="22">
        <v>817.2191202181491</v>
      </c>
      <c r="M171" s="22">
        <v>826.56793566171984</v>
      </c>
      <c r="N171" s="22">
        <v>569.81934975773095</v>
      </c>
    </row>
    <row r="172" spans="2:14" x14ac:dyDescent="0.25">
      <c r="B172" s="37">
        <v>168</v>
      </c>
      <c r="D172" s="9">
        <v>13.710758827413382</v>
      </c>
      <c r="E172" s="9">
        <v>14.271055466179481</v>
      </c>
      <c r="F172" s="9">
        <v>802.14589404843241</v>
      </c>
      <c r="G172" s="9">
        <v>834.92596507825397</v>
      </c>
      <c r="H172" s="9">
        <v>2693.3052437940382</v>
      </c>
      <c r="I172" s="24"/>
      <c r="J172" s="9">
        <v>13.96255768363366</v>
      </c>
      <c r="K172" s="9">
        <v>14.122353571032809</v>
      </c>
      <c r="L172" s="22">
        <v>816.87734846212606</v>
      </c>
      <c r="M172" s="22">
        <v>826.22618294871688</v>
      </c>
      <c r="N172" s="22">
        <v>573.11426620478562</v>
      </c>
    </row>
    <row r="173" spans="2:14" x14ac:dyDescent="0.25">
      <c r="B173" s="37">
        <v>169</v>
      </c>
      <c r="D173" s="9">
        <v>13.787137907405768</v>
      </c>
      <c r="E173" s="9">
        <v>14.350801955012935</v>
      </c>
      <c r="F173" s="9">
        <v>802.00521532155472</v>
      </c>
      <c r="G173" s="9">
        <v>834.79385564025199</v>
      </c>
      <c r="H173" s="9">
        <v>2709.4921334916658</v>
      </c>
      <c r="I173" s="24"/>
      <c r="J173" s="9">
        <v>14.043017727633544</v>
      </c>
      <c r="K173" s="9">
        <v>14.203733241872213</v>
      </c>
      <c r="L173" s="22">
        <v>816.8898818634035</v>
      </c>
      <c r="M173" s="22">
        <v>826.23878962570723</v>
      </c>
      <c r="N173" s="22">
        <v>576.41252711034338</v>
      </c>
    </row>
    <row r="174" spans="2:14" x14ac:dyDescent="0.25">
      <c r="B174" s="37">
        <v>170</v>
      </c>
      <c r="D174" s="9">
        <v>13.86285166413297</v>
      </c>
      <c r="E174" s="9">
        <v>14.429713687452505</v>
      </c>
      <c r="F174" s="9">
        <v>801.82765290390978</v>
      </c>
      <c r="G174" s="9">
        <v>834.61496511721487</v>
      </c>
      <c r="H174" s="9">
        <v>2724.8645704468745</v>
      </c>
      <c r="I174" s="24"/>
      <c r="J174" s="9">
        <v>14.127072392575913</v>
      </c>
      <c r="K174" s="9">
        <v>14.288706597607597</v>
      </c>
      <c r="L174" s="22">
        <v>817.11018579604956</v>
      </c>
      <c r="M174" s="22">
        <v>826.45911186043656</v>
      </c>
      <c r="N174" s="22">
        <v>579.70744355739691</v>
      </c>
    </row>
    <row r="175" spans="2:14" x14ac:dyDescent="0.25">
      <c r="B175" s="37">
        <v>171</v>
      </c>
      <c r="D175" s="9">
        <v>13.939882517515484</v>
      </c>
      <c r="E175" s="9">
        <v>14.51027810345391</v>
      </c>
      <c r="F175" s="9">
        <v>801.7278473409483</v>
      </c>
      <c r="G175" s="9">
        <v>834.53314714692533</v>
      </c>
      <c r="H175" s="9">
        <v>2741.8501492854516</v>
      </c>
      <c r="I175" s="24"/>
      <c r="J175" s="9">
        <v>14.203100930907077</v>
      </c>
      <c r="K175" s="9">
        <v>14.365655058371916</v>
      </c>
      <c r="L175" s="22">
        <v>816.86639185047216</v>
      </c>
      <c r="M175" s="22">
        <v>826.2154068457578</v>
      </c>
      <c r="N175" s="22">
        <v>583.00676060774629</v>
      </c>
    </row>
    <row r="176" spans="2:14" x14ac:dyDescent="0.25">
      <c r="B176" s="37">
        <v>172</v>
      </c>
      <c r="D176" s="9">
        <v>14.015724563595448</v>
      </c>
      <c r="E176" s="9">
        <v>14.589350918755034</v>
      </c>
      <c r="F176" s="9">
        <v>801.56117513908964</v>
      </c>
      <c r="G176" s="9">
        <v>834.36694363476556</v>
      </c>
      <c r="H176" s="9">
        <v>2757.3802222553254</v>
      </c>
      <c r="I176" s="24"/>
      <c r="J176" s="9">
        <v>14.282779106363385</v>
      </c>
      <c r="K176" s="9">
        <v>14.446251431965205</v>
      </c>
      <c r="L176" s="22">
        <v>816.83406040135458</v>
      </c>
      <c r="M176" s="22">
        <v>826.18306471558469</v>
      </c>
      <c r="N176" s="22">
        <v>586.29991681348349</v>
      </c>
    </row>
    <row r="177" spans="2:14" x14ac:dyDescent="0.25">
      <c r="B177" s="37">
        <v>173</v>
      </c>
      <c r="D177" s="9">
        <v>14.092089877413773</v>
      </c>
      <c r="E177" s="9">
        <v>14.669080362063552</v>
      </c>
      <c r="F177" s="9">
        <v>801.42612376591546</v>
      </c>
      <c r="G177" s="9">
        <v>834.23993999794413</v>
      </c>
      <c r="H177" s="9">
        <v>2773.5513483514837</v>
      </c>
      <c r="I177" s="24"/>
      <c r="J177" s="9">
        <v>14.363997829671128</v>
      </c>
      <c r="K177" s="9">
        <v>14.52839126008063</v>
      </c>
      <c r="L177" s="22">
        <v>816.889702134657</v>
      </c>
      <c r="M177" s="22">
        <v>826.2388611913866</v>
      </c>
      <c r="N177" s="22">
        <v>589.60345844299422</v>
      </c>
    </row>
    <row r="178" spans="2:14" x14ac:dyDescent="0.25">
      <c r="B178" s="37">
        <v>174</v>
      </c>
      <c r="D178" s="9">
        <v>14.167910038595364</v>
      </c>
      <c r="E178" s="9">
        <v>14.748125826881486</v>
      </c>
      <c r="F178" s="9">
        <v>801.26174202587879</v>
      </c>
      <c r="G178" s="9">
        <v>834.07566532201713</v>
      </c>
      <c r="H178" s="9">
        <v>2789.0551486522477</v>
      </c>
      <c r="I178" s="24"/>
      <c r="J178" s="9">
        <v>14.443199830420006</v>
      </c>
      <c r="K178" s="9">
        <v>14.60851145896647</v>
      </c>
      <c r="L178" s="22">
        <v>816.8306705099294</v>
      </c>
      <c r="M178" s="22">
        <v>826.17981820393936</v>
      </c>
      <c r="N178" s="22">
        <v>592.89661464873132</v>
      </c>
    </row>
    <row r="179" spans="2:14" x14ac:dyDescent="0.25">
      <c r="B179" s="37">
        <v>175</v>
      </c>
      <c r="D179" s="9">
        <v>14.243996014864136</v>
      </c>
      <c r="E179" s="9">
        <v>14.8275048800381</v>
      </c>
      <c r="F179" s="9">
        <v>801.11412669242952</v>
      </c>
      <c r="G179" s="9">
        <v>833.93196758857437</v>
      </c>
      <c r="H179" s="9">
        <v>2804.884730049977</v>
      </c>
      <c r="I179" s="24"/>
      <c r="J179" s="9">
        <v>14.5236524833964</v>
      </c>
      <c r="K179" s="9">
        <v>14.689882802735893</v>
      </c>
      <c r="L179" s="22">
        <v>816.84263064092283</v>
      </c>
      <c r="M179" s="22">
        <v>826.19179480584501</v>
      </c>
      <c r="N179" s="22">
        <v>596.19153109578497</v>
      </c>
    </row>
    <row r="180" spans="2:14" x14ac:dyDescent="0.25">
      <c r="B180" s="37">
        <v>176</v>
      </c>
      <c r="D180" s="9">
        <v>14.32011610128192</v>
      </c>
      <c r="E180" s="9">
        <v>14.906926788279391</v>
      </c>
      <c r="F180" s="9">
        <v>800.97004139558305</v>
      </c>
      <c r="G180" s="9">
        <v>833.7922459734956</v>
      </c>
      <c r="H180" s="9">
        <v>2820.7563477182789</v>
      </c>
      <c r="I180" s="24"/>
      <c r="J180" s="9">
        <v>14.604880405019474</v>
      </c>
      <c r="K180" s="9">
        <v>14.772030843854553</v>
      </c>
      <c r="L180" s="22">
        <v>816.89782260485936</v>
      </c>
      <c r="M180" s="22">
        <v>826.24708297161283</v>
      </c>
      <c r="N180" s="22">
        <v>599.4915522426619</v>
      </c>
    </row>
    <row r="181" spans="2:14" x14ac:dyDescent="0.25">
      <c r="B181" s="37">
        <v>177</v>
      </c>
      <c r="D181" s="9">
        <v>14.396866700840651</v>
      </c>
      <c r="E181" s="9">
        <v>14.987139897854656</v>
      </c>
      <c r="F181" s="9">
        <v>800.86260471069875</v>
      </c>
      <c r="G181" s="9">
        <v>833.69806397239665</v>
      </c>
      <c r="H181" s="9">
        <v>2837.4003818584215</v>
      </c>
      <c r="I181" s="24"/>
      <c r="J181" s="9">
        <v>14.678607903162366</v>
      </c>
      <c r="K181" s="9">
        <v>14.846676540134407</v>
      </c>
      <c r="L181" s="22">
        <v>816.53518110070718</v>
      </c>
      <c r="M181" s="22">
        <v>825.8844297374086</v>
      </c>
      <c r="N181" s="22">
        <v>602.78470844839751</v>
      </c>
    </row>
    <row r="182" spans="2:14" x14ac:dyDescent="0.25">
      <c r="B182" s="37">
        <v>178</v>
      </c>
      <c r="D182" s="9">
        <v>14.472578741582012</v>
      </c>
      <c r="E182" s="9">
        <v>15.06604991430839</v>
      </c>
      <c r="F182" s="9">
        <v>800.69887730111873</v>
      </c>
      <c r="G182" s="9">
        <v>833.53281175036011</v>
      </c>
      <c r="H182" s="9">
        <v>2852.7728188136302</v>
      </c>
      <c r="I182" s="24"/>
      <c r="J182" s="9">
        <v>14.766569741049739</v>
      </c>
      <c r="K182" s="9">
        <v>14.935558300454943</v>
      </c>
      <c r="L182" s="22">
        <v>816.96399959989094</v>
      </c>
      <c r="M182" s="22">
        <v>826.31333203114013</v>
      </c>
      <c r="N182" s="22">
        <v>606.08402549874688</v>
      </c>
    </row>
    <row r="183" spans="2:14" x14ac:dyDescent="0.25">
      <c r="B183" s="37">
        <v>179</v>
      </c>
      <c r="D183" s="9">
        <v>14.549607787131801</v>
      </c>
      <c r="E183" s="9">
        <v>15.146612522477081</v>
      </c>
      <c r="F183" s="9">
        <v>800.60938966600304</v>
      </c>
      <c r="G183" s="9">
        <v>833.46028185398563</v>
      </c>
      <c r="H183" s="9">
        <v>2869.7583976522073</v>
      </c>
      <c r="I183" s="24"/>
      <c r="J183" s="9">
        <v>14.842646723430475</v>
      </c>
      <c r="K183" s="9">
        <v>15.012555451596869</v>
      </c>
      <c r="L183" s="22">
        <v>816.73420398202563</v>
      </c>
      <c r="M183" s="22">
        <v>826.0836328564269</v>
      </c>
      <c r="N183" s="22">
        <v>609.38422266975397</v>
      </c>
    </row>
    <row r="184" spans="2:14" x14ac:dyDescent="0.25">
      <c r="B184" s="37">
        <v>180</v>
      </c>
      <c r="D184" s="9">
        <v>14.624761632472721</v>
      </c>
      <c r="E184" s="9">
        <v>15.224822238325643</v>
      </c>
      <c r="F184" s="9">
        <v>800.41823391116964</v>
      </c>
      <c r="G184" s="9">
        <v>833.25975724307887</v>
      </c>
      <c r="H184" s="9">
        <v>2884.4477452105534</v>
      </c>
      <c r="I184" s="24"/>
      <c r="J184" s="9">
        <v>14.926981498524093</v>
      </c>
      <c r="K184" s="9">
        <v>15.097809360873946</v>
      </c>
      <c r="L184" s="22">
        <v>816.95883111998785</v>
      </c>
      <c r="M184" s="22">
        <v>826.30829877772294</v>
      </c>
      <c r="N184" s="22">
        <v>612.68072333399516</v>
      </c>
    </row>
    <row r="185" spans="2:14" x14ac:dyDescent="0.25">
      <c r="B185" s="37">
        <v>181</v>
      </c>
      <c r="D185" s="9">
        <v>14.700601764900474</v>
      </c>
      <c r="E185" s="9">
        <v>15.303893139974551</v>
      </c>
      <c r="F185" s="9">
        <v>800.26648247169408</v>
      </c>
      <c r="G185" s="9">
        <v>833.10825822734876</v>
      </c>
      <c r="H185" s="9">
        <v>2899.9778181804268</v>
      </c>
      <c r="I185" s="24"/>
      <c r="J185" s="9">
        <v>15.009796057027549</v>
      </c>
      <c r="K185" s="9">
        <v>15.181542610170434</v>
      </c>
      <c r="L185" s="22">
        <v>817.09829878221058</v>
      </c>
      <c r="M185" s="22">
        <v>826.44778067134359</v>
      </c>
      <c r="N185" s="22">
        <v>615.97563978104859</v>
      </c>
    </row>
    <row r="186" spans="2:14" x14ac:dyDescent="0.25">
      <c r="B186" s="37">
        <v>182</v>
      </c>
      <c r="D186" s="9">
        <v>14.777630151563708</v>
      </c>
      <c r="E186" s="9">
        <v>15.384455089256676</v>
      </c>
      <c r="F186" s="9">
        <v>800.18068712579293</v>
      </c>
      <c r="G186" s="9">
        <v>833.03910830889754</v>
      </c>
      <c r="H186" s="9">
        <v>2916.9633970190039</v>
      </c>
      <c r="I186" s="24"/>
      <c r="J186" s="9">
        <v>15.086665214439098</v>
      </c>
      <c r="K186" s="9">
        <v>15.259332675327249</v>
      </c>
      <c r="L186" s="22">
        <v>816.91435053605403</v>
      </c>
      <c r="M186" s="22">
        <v>826.26396654895211</v>
      </c>
      <c r="N186" s="22">
        <v>619.27847731403324</v>
      </c>
    </row>
    <row r="187" spans="2:14" x14ac:dyDescent="0.25">
      <c r="B187" s="37">
        <v>183</v>
      </c>
      <c r="D187" s="9">
        <v>14.853341148113477</v>
      </c>
      <c r="E187" s="9">
        <v>15.463364061518812</v>
      </c>
      <c r="F187" s="9">
        <v>800.02484291687608</v>
      </c>
      <c r="G187" s="9">
        <v>832.88165813483022</v>
      </c>
      <c r="H187" s="9">
        <v>2932.3358339742122</v>
      </c>
      <c r="I187" s="24"/>
      <c r="J187" s="9">
        <v>15.168311599877303</v>
      </c>
      <c r="K187" s="9">
        <v>15.341897455964837</v>
      </c>
      <c r="L187" s="22">
        <v>816.98965801693305</v>
      </c>
      <c r="M187" s="22">
        <v>826.339271404535</v>
      </c>
      <c r="N187" s="22">
        <v>622.57233761629664</v>
      </c>
    </row>
    <row r="188" spans="2:14" x14ac:dyDescent="0.25">
      <c r="B188" s="37">
        <v>184</v>
      </c>
      <c r="D188" s="9">
        <v>14.93009021670319</v>
      </c>
      <c r="E188" s="9">
        <v>15.543575640125072</v>
      </c>
      <c r="F188" s="9">
        <v>799.92625712802976</v>
      </c>
      <c r="G188" s="9">
        <v>832.79565653805116</v>
      </c>
      <c r="H188" s="9">
        <v>2948.9798681143538</v>
      </c>
      <c r="I188" s="24"/>
      <c r="J188" s="9">
        <v>15.242871099724514</v>
      </c>
      <c r="K188" s="9">
        <v>15.417374661292966</v>
      </c>
      <c r="L188" s="22">
        <v>816.68447073725042</v>
      </c>
      <c r="M188" s="22">
        <v>826.03404457336796</v>
      </c>
      <c r="N188" s="22">
        <v>625.86373358071455</v>
      </c>
    </row>
    <row r="189" spans="2:14" x14ac:dyDescent="0.25">
      <c r="B189" s="37">
        <v>185</v>
      </c>
      <c r="D189" s="9">
        <v>15.005543378206298</v>
      </c>
      <c r="E189" s="9">
        <v>15.622161190322986</v>
      </c>
      <c r="F189" s="9">
        <v>799.7596348974937</v>
      </c>
      <c r="G189" s="9">
        <v>832.62389204968497</v>
      </c>
      <c r="H189" s="9">
        <v>2964.0370330402443</v>
      </c>
      <c r="I189" s="24"/>
      <c r="J189" s="9">
        <v>15.329187432802968</v>
      </c>
      <c r="K189" s="9">
        <v>15.504611902116681</v>
      </c>
      <c r="L189" s="22">
        <v>817.00909027655757</v>
      </c>
      <c r="M189" s="22">
        <v>826.35879564838604</v>
      </c>
      <c r="N189" s="22">
        <v>629.16657111369943</v>
      </c>
    </row>
    <row r="190" spans="2:14" x14ac:dyDescent="0.25">
      <c r="B190" s="37">
        <v>186</v>
      </c>
      <c r="D190" s="9">
        <v>15.082292017363345</v>
      </c>
      <c r="E190" s="9">
        <v>15.702372339496568</v>
      </c>
      <c r="F190" s="9">
        <v>799.6634345671863</v>
      </c>
      <c r="G190" s="9">
        <v>832.54010606603617</v>
      </c>
      <c r="H190" s="9">
        <v>2980.6810671803864</v>
      </c>
      <c r="I190" s="24"/>
      <c r="J190" s="9">
        <v>15.403764820025566</v>
      </c>
      <c r="K190" s="9">
        <v>15.580107684538671</v>
      </c>
      <c r="L190" s="22">
        <v>816.70792921036536</v>
      </c>
      <c r="M190" s="22">
        <v>826.05763153250734</v>
      </c>
      <c r="N190" s="22">
        <v>632.46043141596397</v>
      </c>
    </row>
    <row r="191" spans="2:14" x14ac:dyDescent="0.25">
      <c r="B191" s="37">
        <v>187</v>
      </c>
      <c r="D191" s="9">
        <v>15.158109447940298</v>
      </c>
      <c r="E191" s="9">
        <v>15.78141507370988</v>
      </c>
      <c r="F191" s="9">
        <v>799.51911425041487</v>
      </c>
      <c r="G191" s="9">
        <v>832.39555992684529</v>
      </c>
      <c r="H191" s="9">
        <v>2996.1848674811508</v>
      </c>
      <c r="I191" s="24"/>
      <c r="J191" s="9">
        <v>15.48687835436658</v>
      </c>
      <c r="K191" s="9">
        <v>15.664140648656801</v>
      </c>
      <c r="L191" s="22">
        <v>816.86013067213867</v>
      </c>
      <c r="M191" s="22">
        <v>826.20988454531516</v>
      </c>
      <c r="N191" s="22">
        <v>635.75798822499439</v>
      </c>
    </row>
    <row r="192" spans="2:14" x14ac:dyDescent="0.25">
      <c r="B192" s="37">
        <v>188</v>
      </c>
      <c r="D192" s="9">
        <v>15.234471536160676</v>
      </c>
      <c r="E192" s="9">
        <v>15.861141291420441</v>
      </c>
      <c r="F192" s="9">
        <v>799.4048618226135</v>
      </c>
      <c r="G192" s="9">
        <v>832.28836867237555</v>
      </c>
      <c r="H192" s="9">
        <v>3012.3559935773083</v>
      </c>
      <c r="I192" s="24"/>
      <c r="J192" s="9">
        <v>15.562623183062961</v>
      </c>
      <c r="K192" s="9">
        <v>15.740804168146189</v>
      </c>
      <c r="L192" s="22">
        <v>816.62410184194243</v>
      </c>
      <c r="M192" s="22">
        <v>825.9738679576742</v>
      </c>
      <c r="N192" s="22">
        <v>639.05290467204929</v>
      </c>
    </row>
    <row r="193" spans="2:14" x14ac:dyDescent="0.25">
      <c r="B193" s="37">
        <v>189</v>
      </c>
      <c r="D193" s="9">
        <v>15.310310009832698</v>
      </c>
      <c r="E193" s="9">
        <v>15.940210534313607</v>
      </c>
      <c r="F193" s="9">
        <v>799.26444626893237</v>
      </c>
      <c r="G193" s="9">
        <v>832.14797988650196</v>
      </c>
      <c r="H193" s="9">
        <v>3027.8860665471825</v>
      </c>
      <c r="I193" s="24"/>
      <c r="J193" s="9">
        <v>15.653183487389569</v>
      </c>
      <c r="K193" s="9">
        <v>15.83228587287412</v>
      </c>
      <c r="L193" s="22">
        <v>817.16392577024851</v>
      </c>
      <c r="M193" s="22">
        <v>826.51384545625228</v>
      </c>
      <c r="N193" s="22">
        <v>642.35750244635199</v>
      </c>
    </row>
    <row r="194" spans="2:14" x14ac:dyDescent="0.25">
      <c r="B194" s="37">
        <v>190</v>
      </c>
      <c r="D194" s="9">
        <v>15.387336654602853</v>
      </c>
      <c r="E194" s="9">
        <v>16.020770741702673</v>
      </c>
      <c r="F194" s="9">
        <v>799.18717473308311</v>
      </c>
      <c r="G194" s="9">
        <v>832.08646132258548</v>
      </c>
      <c r="H194" s="9">
        <v>3044.8716453857596</v>
      </c>
      <c r="I194" s="24"/>
      <c r="J194" s="9">
        <v>15.719998449485349</v>
      </c>
      <c r="K194" s="9">
        <v>15.900018737513241</v>
      </c>
      <c r="L194" s="22">
        <v>816.4649561946494</v>
      </c>
      <c r="M194" s="22">
        <v>825.81484621220557</v>
      </c>
      <c r="N194" s="22">
        <v>645.64960250729723</v>
      </c>
    </row>
    <row r="195" spans="2:14" x14ac:dyDescent="0.25">
      <c r="B195" s="37">
        <v>191</v>
      </c>
      <c r="D195" s="9">
        <v>15.463046013135438</v>
      </c>
      <c r="E195" s="9">
        <v>16.099678075947622</v>
      </c>
      <c r="F195" s="9">
        <v>799.04261778967259</v>
      </c>
      <c r="G195" s="9">
        <v>831.94015619227218</v>
      </c>
      <c r="H195" s="9">
        <v>3060.2440823409684</v>
      </c>
      <c r="I195" s="24"/>
      <c r="J195" s="9">
        <v>15.805515818859897</v>
      </c>
      <c r="K195" s="9">
        <v>15.986455044008835</v>
      </c>
      <c r="L195" s="22">
        <v>816.73951721346884</v>
      </c>
      <c r="M195" s="22">
        <v>826.08943132489469</v>
      </c>
      <c r="N195" s="22">
        <v>648.94539907500996</v>
      </c>
    </row>
    <row r="196" spans="2:14" x14ac:dyDescent="0.25">
      <c r="B196" s="37">
        <v>192</v>
      </c>
      <c r="D196" s="9">
        <v>15.539420135548568</v>
      </c>
      <c r="E196" s="9">
        <v>16.179419607201822</v>
      </c>
      <c r="F196" s="9">
        <v>798.9336987577118</v>
      </c>
      <c r="G196" s="9">
        <v>831.83821775718263</v>
      </c>
      <c r="H196" s="9">
        <v>3076.4309720385959</v>
      </c>
      <c r="I196" s="24"/>
      <c r="J196" s="9">
        <v>15.886741405647934</v>
      </c>
      <c r="K196" s="9">
        <v>16.068600306901999</v>
      </c>
      <c r="L196" s="22">
        <v>816.79064995391013</v>
      </c>
      <c r="M196" s="22">
        <v>826.14062590948299</v>
      </c>
      <c r="N196" s="22">
        <v>652.24383600470026</v>
      </c>
    </row>
    <row r="197" spans="2:14" x14ac:dyDescent="0.25">
      <c r="B197" s="37">
        <v>193</v>
      </c>
      <c r="D197" s="9">
        <v>15.615244925186349</v>
      </c>
      <c r="E197" s="9">
        <v>16.258471886709881</v>
      </c>
      <c r="F197" s="9">
        <v>798.79777327411171</v>
      </c>
      <c r="G197" s="9">
        <v>831.70204515947489</v>
      </c>
      <c r="H197" s="9">
        <v>3091.945281407</v>
      </c>
      <c r="I197" s="24"/>
      <c r="J197" s="9">
        <v>15.962524031621941</v>
      </c>
      <c r="K197" s="9">
        <v>16.145301328075405</v>
      </c>
      <c r="L197" s="22">
        <v>816.56283416521148</v>
      </c>
      <c r="M197" s="22">
        <v>825.91280581865624</v>
      </c>
      <c r="N197" s="22">
        <v>655.53769630696343</v>
      </c>
    </row>
    <row r="198" spans="2:14" x14ac:dyDescent="0.25">
      <c r="B198" s="37">
        <v>194</v>
      </c>
      <c r="D198" s="9">
        <v>15.691060936812335</v>
      </c>
      <c r="E198" s="9">
        <v>16.337513201972218</v>
      </c>
      <c r="F198" s="9">
        <v>798.66276025139496</v>
      </c>
      <c r="G198" s="9">
        <v>831.56667621619056</v>
      </c>
      <c r="H198" s="9">
        <v>3107.449081707764</v>
      </c>
      <c r="I198" s="24"/>
      <c r="J198" s="9">
        <v>16.04871322545948</v>
      </c>
      <c r="K198" s="9">
        <v>16.232410444346101</v>
      </c>
      <c r="L198" s="22">
        <v>816.86698271993555</v>
      </c>
      <c r="M198" s="22">
        <v>826.21702784928027</v>
      </c>
      <c r="N198" s="22">
        <v>658.8370133573128</v>
      </c>
    </row>
    <row r="199" spans="2:14" x14ac:dyDescent="0.25">
      <c r="B199" s="37">
        <v>195</v>
      </c>
    </row>
    <row r="200" spans="2:14" x14ac:dyDescent="0.25">
      <c r="B200" s="37">
        <v>196</v>
      </c>
    </row>
    <row r="201" spans="2:14" x14ac:dyDescent="0.25">
      <c r="B201" s="37">
        <v>197</v>
      </c>
    </row>
    <row r="202" spans="2:14" x14ac:dyDescent="0.25">
      <c r="B202" s="37">
        <v>198</v>
      </c>
    </row>
    <row r="203" spans="2:14" x14ac:dyDescent="0.25">
      <c r="B203" s="37">
        <v>199</v>
      </c>
    </row>
    <row r="204" spans="2:14" x14ac:dyDescent="0.25">
      <c r="B204" s="37">
        <v>200</v>
      </c>
    </row>
    <row r="205" spans="2:14" x14ac:dyDescent="0.25">
      <c r="B205" s="37">
        <v>201</v>
      </c>
    </row>
    <row r="206" spans="2:14" x14ac:dyDescent="0.25">
      <c r="B206" s="37">
        <v>202</v>
      </c>
    </row>
    <row r="207" spans="2:14" x14ac:dyDescent="0.25">
      <c r="B207" s="37">
        <v>203</v>
      </c>
    </row>
    <row r="208" spans="2:14" x14ac:dyDescent="0.25">
      <c r="B208" s="37">
        <v>204</v>
      </c>
    </row>
    <row r="209" spans="2:2" x14ac:dyDescent="0.25">
      <c r="B209" s="37">
        <v>205</v>
      </c>
    </row>
    <row r="210" spans="2:2" x14ac:dyDescent="0.25">
      <c r="B210" s="37">
        <v>206</v>
      </c>
    </row>
    <row r="211" spans="2:2" x14ac:dyDescent="0.25">
      <c r="B211" s="37">
        <v>207</v>
      </c>
    </row>
    <row r="212" spans="2:2" x14ac:dyDescent="0.25">
      <c r="B212" s="37">
        <v>208</v>
      </c>
    </row>
    <row r="213" spans="2:2" x14ac:dyDescent="0.25">
      <c r="B213" s="37">
        <v>209</v>
      </c>
    </row>
    <row r="214" spans="2:2" x14ac:dyDescent="0.25">
      <c r="B214" s="37">
        <v>210</v>
      </c>
    </row>
    <row r="215" spans="2:2" x14ac:dyDescent="0.25">
      <c r="B215" s="37">
        <v>211</v>
      </c>
    </row>
    <row r="216" spans="2:2" x14ac:dyDescent="0.25">
      <c r="B216" s="37">
        <v>212</v>
      </c>
    </row>
    <row r="217" spans="2:2" x14ac:dyDescent="0.25">
      <c r="B217" s="37">
        <v>213</v>
      </c>
    </row>
    <row r="218" spans="2:2" x14ac:dyDescent="0.25">
      <c r="B218" s="37">
        <v>214</v>
      </c>
    </row>
    <row r="219" spans="2:2" x14ac:dyDescent="0.25">
      <c r="B219" s="37">
        <v>215</v>
      </c>
    </row>
    <row r="220" spans="2:2" x14ac:dyDescent="0.25">
      <c r="B220" s="37">
        <v>216</v>
      </c>
    </row>
    <row r="221" spans="2:2" x14ac:dyDescent="0.25">
      <c r="B221" s="37">
        <v>217</v>
      </c>
    </row>
    <row r="222" spans="2:2" x14ac:dyDescent="0.25">
      <c r="B222" s="37">
        <v>218</v>
      </c>
    </row>
    <row r="223" spans="2:2" x14ac:dyDescent="0.25">
      <c r="B223" s="37">
        <v>219</v>
      </c>
    </row>
    <row r="224" spans="2:2" x14ac:dyDescent="0.25">
      <c r="B224" s="37">
        <v>220</v>
      </c>
    </row>
    <row r="225" spans="2:2" x14ac:dyDescent="0.25">
      <c r="B225" s="37">
        <v>221</v>
      </c>
    </row>
    <row r="226" spans="2:2" x14ac:dyDescent="0.25">
      <c r="B226" s="37">
        <v>222</v>
      </c>
    </row>
    <row r="227" spans="2:2" x14ac:dyDescent="0.25">
      <c r="B227" s="37">
        <v>223</v>
      </c>
    </row>
    <row r="228" spans="2:2" x14ac:dyDescent="0.25">
      <c r="B228" s="37">
        <v>224</v>
      </c>
    </row>
    <row r="229" spans="2:2" x14ac:dyDescent="0.25">
      <c r="B229" s="37">
        <v>225</v>
      </c>
    </row>
    <row r="230" spans="2:2" x14ac:dyDescent="0.25">
      <c r="B230" s="37">
        <v>226</v>
      </c>
    </row>
    <row r="231" spans="2:2" x14ac:dyDescent="0.25">
      <c r="B231" s="37">
        <v>227</v>
      </c>
    </row>
    <row r="232" spans="2:2" x14ac:dyDescent="0.25">
      <c r="B232" s="37">
        <v>228</v>
      </c>
    </row>
    <row r="233" spans="2:2" x14ac:dyDescent="0.25">
      <c r="B233" s="37">
        <v>229</v>
      </c>
    </row>
    <row r="234" spans="2:2" x14ac:dyDescent="0.25">
      <c r="B234" s="37">
        <v>230</v>
      </c>
    </row>
    <row r="235" spans="2:2" x14ac:dyDescent="0.25">
      <c r="B235" s="37">
        <v>231</v>
      </c>
    </row>
    <row r="236" spans="2:2" x14ac:dyDescent="0.25">
      <c r="B236" s="37">
        <v>232</v>
      </c>
    </row>
    <row r="237" spans="2:2" x14ac:dyDescent="0.25">
      <c r="B237" s="37">
        <v>233</v>
      </c>
    </row>
    <row r="238" spans="2:2" x14ac:dyDescent="0.25">
      <c r="B238" s="37">
        <v>234</v>
      </c>
    </row>
    <row r="239" spans="2:2" x14ac:dyDescent="0.25">
      <c r="B239" s="37">
        <v>235</v>
      </c>
    </row>
    <row r="240" spans="2:2" x14ac:dyDescent="0.25">
      <c r="B240" s="37">
        <v>236</v>
      </c>
    </row>
    <row r="241" spans="2:2" x14ac:dyDescent="0.25">
      <c r="B241" s="37">
        <v>237</v>
      </c>
    </row>
    <row r="242" spans="2:2" x14ac:dyDescent="0.25">
      <c r="B242" s="37">
        <v>238</v>
      </c>
    </row>
    <row r="243" spans="2:2" x14ac:dyDescent="0.25">
      <c r="B243" s="37">
        <v>239</v>
      </c>
    </row>
    <row r="244" spans="2:2" x14ac:dyDescent="0.25">
      <c r="B244" s="37">
        <v>240</v>
      </c>
    </row>
    <row r="245" spans="2:2" x14ac:dyDescent="0.25">
      <c r="B245" s="37">
        <v>241</v>
      </c>
    </row>
    <row r="246" spans="2:2" x14ac:dyDescent="0.25">
      <c r="B246" s="37">
        <v>242</v>
      </c>
    </row>
    <row r="247" spans="2:2" x14ac:dyDescent="0.25">
      <c r="B247" s="37">
        <v>243</v>
      </c>
    </row>
    <row r="248" spans="2:2" x14ac:dyDescent="0.25">
      <c r="B248" s="37">
        <v>244</v>
      </c>
    </row>
    <row r="249" spans="2:2" x14ac:dyDescent="0.25">
      <c r="B249" s="37">
        <v>245</v>
      </c>
    </row>
    <row r="250" spans="2:2" x14ac:dyDescent="0.25">
      <c r="B250" s="37">
        <v>246</v>
      </c>
    </row>
    <row r="251" spans="2:2" x14ac:dyDescent="0.25">
      <c r="B251" s="37">
        <v>247</v>
      </c>
    </row>
    <row r="252" spans="2:2" x14ac:dyDescent="0.25">
      <c r="B252" s="37">
        <v>248</v>
      </c>
    </row>
    <row r="253" spans="2:2" x14ac:dyDescent="0.25">
      <c r="B253" s="37">
        <v>249</v>
      </c>
    </row>
    <row r="254" spans="2:2" x14ac:dyDescent="0.25">
      <c r="B254" s="37">
        <v>250</v>
      </c>
    </row>
    <row r="255" spans="2:2" x14ac:dyDescent="0.25">
      <c r="B255" s="37">
        <v>251</v>
      </c>
    </row>
    <row r="256" spans="2:2" x14ac:dyDescent="0.25">
      <c r="B256" s="37">
        <v>252</v>
      </c>
    </row>
    <row r="257" spans="2:2" x14ac:dyDescent="0.25">
      <c r="B257" s="37">
        <v>253</v>
      </c>
    </row>
    <row r="258" spans="2:2" x14ac:dyDescent="0.25">
      <c r="B258" s="37">
        <v>254</v>
      </c>
    </row>
    <row r="259" spans="2:2" x14ac:dyDescent="0.25">
      <c r="B259" s="37">
        <v>255</v>
      </c>
    </row>
    <row r="260" spans="2:2" x14ac:dyDescent="0.25">
      <c r="B260" s="37">
        <v>256</v>
      </c>
    </row>
    <row r="261" spans="2:2" x14ac:dyDescent="0.25">
      <c r="B261" s="37">
        <v>257</v>
      </c>
    </row>
    <row r="262" spans="2:2" x14ac:dyDescent="0.25">
      <c r="B262" s="37">
        <v>258</v>
      </c>
    </row>
    <row r="263" spans="2:2" x14ac:dyDescent="0.25">
      <c r="B263" s="37">
        <v>259</v>
      </c>
    </row>
    <row r="264" spans="2:2" x14ac:dyDescent="0.25">
      <c r="B264" s="37">
        <v>260</v>
      </c>
    </row>
    <row r="265" spans="2:2" x14ac:dyDescent="0.25">
      <c r="B265" s="37">
        <v>261</v>
      </c>
    </row>
    <row r="266" spans="2:2" x14ac:dyDescent="0.25">
      <c r="B266" s="37">
        <v>262</v>
      </c>
    </row>
    <row r="267" spans="2:2" x14ac:dyDescent="0.25">
      <c r="B267" s="37">
        <v>263</v>
      </c>
    </row>
    <row r="268" spans="2:2" x14ac:dyDescent="0.25">
      <c r="B268" s="37">
        <v>264</v>
      </c>
    </row>
    <row r="269" spans="2:2" x14ac:dyDescent="0.25">
      <c r="B269" s="37">
        <v>265</v>
      </c>
    </row>
    <row r="270" spans="2:2" x14ac:dyDescent="0.25">
      <c r="B270" s="37">
        <v>266</v>
      </c>
    </row>
    <row r="271" spans="2:2" x14ac:dyDescent="0.25">
      <c r="B271" s="37">
        <v>267</v>
      </c>
    </row>
    <row r="272" spans="2:2" x14ac:dyDescent="0.25">
      <c r="B272" s="37">
        <v>268</v>
      </c>
    </row>
    <row r="273" spans="2:2" x14ac:dyDescent="0.25">
      <c r="B273" s="37">
        <v>269</v>
      </c>
    </row>
    <row r="274" spans="2:2" x14ac:dyDescent="0.25">
      <c r="B274" s="37">
        <v>270</v>
      </c>
    </row>
    <row r="275" spans="2:2" x14ac:dyDescent="0.25">
      <c r="B275" s="37">
        <v>271</v>
      </c>
    </row>
    <row r="276" spans="2:2" x14ac:dyDescent="0.25">
      <c r="B276" s="37">
        <v>272</v>
      </c>
    </row>
    <row r="277" spans="2:2" x14ac:dyDescent="0.25">
      <c r="B277" s="37">
        <v>273</v>
      </c>
    </row>
    <row r="278" spans="2:2" x14ac:dyDescent="0.25">
      <c r="B278" s="37">
        <v>274</v>
      </c>
    </row>
    <row r="279" spans="2:2" x14ac:dyDescent="0.25">
      <c r="B279" s="37">
        <v>275</v>
      </c>
    </row>
    <row r="280" spans="2:2" x14ac:dyDescent="0.25">
      <c r="B280" s="37">
        <v>276</v>
      </c>
    </row>
    <row r="281" spans="2:2" x14ac:dyDescent="0.25">
      <c r="B281" s="37">
        <v>277</v>
      </c>
    </row>
    <row r="282" spans="2:2" x14ac:dyDescent="0.25">
      <c r="B282" s="37">
        <v>278</v>
      </c>
    </row>
    <row r="283" spans="2:2" x14ac:dyDescent="0.25">
      <c r="B283" s="37">
        <v>279</v>
      </c>
    </row>
    <row r="284" spans="2:2" x14ac:dyDescent="0.25">
      <c r="B284" s="37">
        <v>280</v>
      </c>
    </row>
    <row r="285" spans="2:2" x14ac:dyDescent="0.25">
      <c r="B285" s="37">
        <v>281</v>
      </c>
    </row>
    <row r="286" spans="2:2" x14ac:dyDescent="0.25">
      <c r="B286" s="37">
        <v>282</v>
      </c>
    </row>
    <row r="287" spans="2:2" x14ac:dyDescent="0.25">
      <c r="B287" s="37">
        <v>283</v>
      </c>
    </row>
    <row r="288" spans="2:2" x14ac:dyDescent="0.25">
      <c r="B288" s="37">
        <v>284</v>
      </c>
    </row>
    <row r="289" spans="2:2" x14ac:dyDescent="0.25">
      <c r="B289" s="37">
        <v>285</v>
      </c>
    </row>
    <row r="290" spans="2:2" x14ac:dyDescent="0.25">
      <c r="B290" s="37">
        <v>286</v>
      </c>
    </row>
    <row r="291" spans="2:2" x14ac:dyDescent="0.25">
      <c r="B291" s="37">
        <v>287</v>
      </c>
    </row>
    <row r="292" spans="2:2" x14ac:dyDescent="0.25">
      <c r="B292" s="37">
        <v>288</v>
      </c>
    </row>
    <row r="293" spans="2:2" x14ac:dyDescent="0.25">
      <c r="B293" s="37">
        <v>289</v>
      </c>
    </row>
    <row r="294" spans="2:2" x14ac:dyDescent="0.25">
      <c r="B294" s="37">
        <v>290</v>
      </c>
    </row>
    <row r="295" spans="2:2" x14ac:dyDescent="0.25">
      <c r="B295" s="37">
        <v>291</v>
      </c>
    </row>
    <row r="296" spans="2:2" x14ac:dyDescent="0.25">
      <c r="B296" s="37">
        <v>292</v>
      </c>
    </row>
    <row r="297" spans="2:2" x14ac:dyDescent="0.25">
      <c r="B297" s="37">
        <v>293</v>
      </c>
    </row>
    <row r="298" spans="2:2" x14ac:dyDescent="0.25">
      <c r="B298" s="37">
        <v>294</v>
      </c>
    </row>
    <row r="299" spans="2:2" x14ac:dyDescent="0.25">
      <c r="B299" s="37">
        <v>295</v>
      </c>
    </row>
    <row r="300" spans="2:2" x14ac:dyDescent="0.25">
      <c r="B300" s="37">
        <v>296</v>
      </c>
    </row>
    <row r="301" spans="2:2" x14ac:dyDescent="0.25">
      <c r="B301" s="37">
        <v>297</v>
      </c>
    </row>
    <row r="302" spans="2:2" x14ac:dyDescent="0.25">
      <c r="B302" s="37">
        <v>298</v>
      </c>
    </row>
    <row r="303" spans="2:2" x14ac:dyDescent="0.25">
      <c r="B303" s="37">
        <v>299</v>
      </c>
    </row>
    <row r="304" spans="2:2" x14ac:dyDescent="0.25">
      <c r="B304" s="37">
        <v>300</v>
      </c>
    </row>
    <row r="305" spans="2:2" x14ac:dyDescent="0.25">
      <c r="B305" s="37">
        <v>301</v>
      </c>
    </row>
    <row r="306" spans="2:2" x14ac:dyDescent="0.25">
      <c r="B306" s="37">
        <v>302</v>
      </c>
    </row>
    <row r="307" spans="2:2" x14ac:dyDescent="0.25">
      <c r="B307" s="37">
        <v>303</v>
      </c>
    </row>
    <row r="308" spans="2:2" x14ac:dyDescent="0.25">
      <c r="B308" s="37">
        <v>304</v>
      </c>
    </row>
    <row r="309" spans="2:2" x14ac:dyDescent="0.25">
      <c r="B309" s="37">
        <v>305</v>
      </c>
    </row>
    <row r="310" spans="2:2" x14ac:dyDescent="0.25">
      <c r="B310" s="37">
        <v>306</v>
      </c>
    </row>
    <row r="311" spans="2:2" x14ac:dyDescent="0.25">
      <c r="B311" s="37">
        <v>307</v>
      </c>
    </row>
    <row r="312" spans="2:2" x14ac:dyDescent="0.25">
      <c r="B312" s="37">
        <v>308</v>
      </c>
    </row>
    <row r="313" spans="2:2" x14ac:dyDescent="0.25">
      <c r="B313" s="37">
        <v>309</v>
      </c>
    </row>
    <row r="314" spans="2:2" x14ac:dyDescent="0.25">
      <c r="B314" s="37">
        <v>310</v>
      </c>
    </row>
    <row r="315" spans="2:2" x14ac:dyDescent="0.25">
      <c r="B315" s="37">
        <v>311</v>
      </c>
    </row>
    <row r="316" spans="2:2" x14ac:dyDescent="0.25">
      <c r="B316" s="37">
        <v>312</v>
      </c>
    </row>
    <row r="317" spans="2:2" x14ac:dyDescent="0.25">
      <c r="B317" s="37">
        <v>313</v>
      </c>
    </row>
    <row r="318" spans="2:2" x14ac:dyDescent="0.25">
      <c r="B318" s="37">
        <v>314</v>
      </c>
    </row>
    <row r="319" spans="2:2" x14ac:dyDescent="0.25">
      <c r="B319" s="37">
        <v>315</v>
      </c>
    </row>
    <row r="320" spans="2:2" x14ac:dyDescent="0.25">
      <c r="B320" s="37">
        <v>316</v>
      </c>
    </row>
    <row r="321" spans="2:2" x14ac:dyDescent="0.25">
      <c r="B321" s="37">
        <v>317</v>
      </c>
    </row>
    <row r="322" spans="2:2" x14ac:dyDescent="0.25">
      <c r="B322" s="37">
        <v>318</v>
      </c>
    </row>
    <row r="323" spans="2:2" x14ac:dyDescent="0.25">
      <c r="B323" s="37">
        <v>319</v>
      </c>
    </row>
    <row r="324" spans="2:2" x14ac:dyDescent="0.25">
      <c r="B324" s="37">
        <v>320</v>
      </c>
    </row>
    <row r="325" spans="2:2" x14ac:dyDescent="0.25">
      <c r="B325" s="37">
        <v>321</v>
      </c>
    </row>
    <row r="326" spans="2:2" x14ac:dyDescent="0.25">
      <c r="B326" s="37">
        <v>322</v>
      </c>
    </row>
    <row r="327" spans="2:2" x14ac:dyDescent="0.25">
      <c r="B327" s="37">
        <v>323</v>
      </c>
    </row>
    <row r="328" spans="2:2" x14ac:dyDescent="0.25">
      <c r="B328" s="37">
        <v>324</v>
      </c>
    </row>
    <row r="329" spans="2:2" x14ac:dyDescent="0.25">
      <c r="B329" s="37">
        <v>325</v>
      </c>
    </row>
    <row r="330" spans="2:2" x14ac:dyDescent="0.25">
      <c r="B330" s="37">
        <v>326</v>
      </c>
    </row>
    <row r="331" spans="2:2" x14ac:dyDescent="0.25">
      <c r="B331" s="37">
        <v>327</v>
      </c>
    </row>
    <row r="332" spans="2:2" x14ac:dyDescent="0.25">
      <c r="B332" s="37">
        <v>328</v>
      </c>
    </row>
    <row r="333" spans="2:2" x14ac:dyDescent="0.25">
      <c r="B333" s="37">
        <v>329</v>
      </c>
    </row>
    <row r="334" spans="2:2" x14ac:dyDescent="0.25">
      <c r="B334" s="37">
        <v>330</v>
      </c>
    </row>
    <row r="335" spans="2:2" x14ac:dyDescent="0.25">
      <c r="B335" s="37">
        <v>331</v>
      </c>
    </row>
    <row r="336" spans="2:2" x14ac:dyDescent="0.25">
      <c r="B336" s="37">
        <v>332</v>
      </c>
    </row>
    <row r="337" spans="2:2" x14ac:dyDescent="0.25">
      <c r="B337" s="37">
        <v>333</v>
      </c>
    </row>
    <row r="338" spans="2:2" x14ac:dyDescent="0.25">
      <c r="B338" s="37">
        <v>334</v>
      </c>
    </row>
    <row r="339" spans="2:2" x14ac:dyDescent="0.25">
      <c r="B339" s="37">
        <v>335</v>
      </c>
    </row>
    <row r="340" spans="2:2" x14ac:dyDescent="0.25">
      <c r="B340" s="37">
        <v>336</v>
      </c>
    </row>
    <row r="341" spans="2:2" x14ac:dyDescent="0.25">
      <c r="B341" s="37">
        <v>337</v>
      </c>
    </row>
    <row r="342" spans="2:2" x14ac:dyDescent="0.25">
      <c r="B342" s="37">
        <v>338</v>
      </c>
    </row>
    <row r="343" spans="2:2" x14ac:dyDescent="0.25">
      <c r="B343" s="37">
        <v>339</v>
      </c>
    </row>
    <row r="344" spans="2:2" x14ac:dyDescent="0.25">
      <c r="B344" s="37">
        <v>340</v>
      </c>
    </row>
    <row r="345" spans="2:2" x14ac:dyDescent="0.25">
      <c r="B345" s="37">
        <v>341</v>
      </c>
    </row>
    <row r="346" spans="2:2" x14ac:dyDescent="0.25">
      <c r="B346" s="37">
        <v>342</v>
      </c>
    </row>
    <row r="347" spans="2:2" x14ac:dyDescent="0.25">
      <c r="B347" s="37">
        <v>343</v>
      </c>
    </row>
    <row r="348" spans="2:2" x14ac:dyDescent="0.25">
      <c r="B348" s="37">
        <v>344</v>
      </c>
    </row>
    <row r="349" spans="2:2" x14ac:dyDescent="0.25">
      <c r="B349" s="37">
        <v>345</v>
      </c>
    </row>
    <row r="350" spans="2:2" x14ac:dyDescent="0.25">
      <c r="B350" s="37">
        <v>346</v>
      </c>
    </row>
    <row r="351" spans="2:2" x14ac:dyDescent="0.25">
      <c r="B351" s="37">
        <v>347</v>
      </c>
    </row>
    <row r="352" spans="2:2" x14ac:dyDescent="0.25">
      <c r="B352" s="37">
        <v>348</v>
      </c>
    </row>
    <row r="353" spans="2:2" x14ac:dyDescent="0.25">
      <c r="B353" s="37">
        <v>349</v>
      </c>
    </row>
    <row r="354" spans="2:2" x14ac:dyDescent="0.25">
      <c r="B354" s="37">
        <v>350</v>
      </c>
    </row>
  </sheetData>
  <mergeCells count="2">
    <mergeCell ref="R25:T25"/>
    <mergeCell ref="R34:T34"/>
  </mergeCells>
  <conditionalFormatting sqref="E8:E198">
    <cfRule type="cellIs" dxfId="3" priority="1" operator="greaterThan">
      <formula>K8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>
    <tabColor theme="6" tint="0.39997558519241921"/>
  </sheetPr>
  <dimension ref="A1:AF354"/>
  <sheetViews>
    <sheetView tabSelected="1" topLeftCell="O1" zoomScale="70" zoomScaleNormal="70" workbookViewId="0">
      <selection activeCell="V44" sqref="V44"/>
    </sheetView>
  </sheetViews>
  <sheetFormatPr defaultColWidth="9.140625" defaultRowHeight="15" x14ac:dyDescent="0.25"/>
  <cols>
    <col min="1" max="1" width="3.28515625" style="10" customWidth="1"/>
    <col min="2" max="2" width="12.85546875" style="10" customWidth="1"/>
    <col min="3" max="3" width="2.85546875" style="10" customWidth="1"/>
    <col min="4" max="8" width="18.5703125" style="10" customWidth="1"/>
    <col min="9" max="9" width="4.42578125" style="10" customWidth="1"/>
    <col min="10" max="14" width="18.5703125" style="10" customWidth="1"/>
    <col min="15" max="15" width="4.140625" style="10" customWidth="1"/>
    <col min="16" max="16" width="20.140625" style="10" customWidth="1"/>
    <col min="17" max="17" width="33.7109375" style="10" customWidth="1"/>
    <col min="18" max="18" width="17.85546875" style="10" bestFit="1" customWidth="1"/>
    <col min="19" max="21" width="20.140625" style="10" bestFit="1" customWidth="1"/>
    <col min="22" max="29" width="21.7109375" style="10" bestFit="1" customWidth="1"/>
    <col min="30" max="16384" width="9.140625" style="10"/>
  </cols>
  <sheetData>
    <row r="1" spans="1:29" x14ac:dyDescent="0.25">
      <c r="A1"/>
      <c r="B1"/>
      <c r="C1"/>
      <c r="D1"/>
      <c r="E1"/>
      <c r="F1"/>
    </row>
    <row r="2" spans="1:29" x14ac:dyDescent="0.25">
      <c r="A2"/>
      <c r="B2"/>
      <c r="C2"/>
      <c r="D2"/>
      <c r="E2"/>
      <c r="F2"/>
    </row>
    <row r="3" spans="1:29" x14ac:dyDescent="0.25">
      <c r="A3"/>
      <c r="B3"/>
      <c r="C3"/>
      <c r="D3"/>
      <c r="E3"/>
      <c r="F3"/>
    </row>
    <row r="4" spans="1:29" ht="15.75" thickBot="1" x14ac:dyDescent="0.3">
      <c r="A4"/>
      <c r="B4"/>
      <c r="C4"/>
      <c r="D4"/>
      <c r="E4"/>
      <c r="F4"/>
    </row>
    <row r="5" spans="1:29" ht="30.75" customHeight="1" thickBot="1" x14ac:dyDescent="0.3">
      <c r="B5" s="3" t="s">
        <v>41</v>
      </c>
      <c r="D5" s="3" t="s">
        <v>6</v>
      </c>
      <c r="E5" s="4"/>
      <c r="F5" s="4"/>
      <c r="G5" s="4"/>
      <c r="H5" s="4"/>
      <c r="J5" s="3" t="s">
        <v>46</v>
      </c>
      <c r="K5" s="4"/>
      <c r="L5" s="4"/>
      <c r="M5" s="4"/>
      <c r="N5" s="4"/>
      <c r="P5" s="3" t="s">
        <v>41</v>
      </c>
      <c r="Q5" s="3" t="s">
        <v>41</v>
      </c>
      <c r="R5" s="44" t="s">
        <v>36</v>
      </c>
      <c r="S5" s="45"/>
      <c r="T5" s="45"/>
      <c r="U5" s="45"/>
      <c r="V5" s="45"/>
      <c r="W5" s="45"/>
      <c r="X5" s="45"/>
      <c r="Y5" s="45"/>
      <c r="Z5" s="45"/>
      <c r="AA5" s="45"/>
      <c r="AB5" s="45"/>
      <c r="AC5" s="45"/>
    </row>
    <row r="6" spans="1:29" ht="45.75" thickBot="1" x14ac:dyDescent="0.3">
      <c r="B6" s="1" t="s">
        <v>4</v>
      </c>
      <c r="D6" s="1" t="s">
        <v>31</v>
      </c>
      <c r="E6" s="1" t="s">
        <v>32</v>
      </c>
      <c r="F6" s="1" t="s">
        <v>33</v>
      </c>
      <c r="G6" s="1" t="s">
        <v>34</v>
      </c>
      <c r="H6" s="1" t="s">
        <v>0</v>
      </c>
      <c r="J6" s="1" t="s">
        <v>31</v>
      </c>
      <c r="K6" s="1" t="s">
        <v>32</v>
      </c>
      <c r="L6" s="1" t="s">
        <v>33</v>
      </c>
      <c r="M6" s="1" t="s">
        <v>34</v>
      </c>
      <c r="N6" s="1" t="s">
        <v>0</v>
      </c>
      <c r="P6" s="1" t="s">
        <v>40</v>
      </c>
      <c r="Q6" s="1" t="s">
        <v>35</v>
      </c>
      <c r="R6" s="38">
        <v>1</v>
      </c>
      <c r="S6" s="38">
        <v>3</v>
      </c>
      <c r="T6" s="38">
        <v>5</v>
      </c>
      <c r="U6" s="38">
        <v>8</v>
      </c>
      <c r="V6" s="38">
        <v>10</v>
      </c>
      <c r="W6" s="38">
        <v>13</v>
      </c>
      <c r="X6" s="38">
        <v>16</v>
      </c>
      <c r="Y6" s="38">
        <v>20</v>
      </c>
      <c r="Z6" s="38">
        <v>25</v>
      </c>
      <c r="AA6" s="38">
        <v>30</v>
      </c>
      <c r="AB6" s="38">
        <v>35</v>
      </c>
      <c r="AC6" s="38">
        <v>40</v>
      </c>
    </row>
    <row r="7" spans="1:29" x14ac:dyDescent="0.25">
      <c r="B7" s="17"/>
      <c r="D7" s="18" t="s">
        <v>1</v>
      </c>
      <c r="E7" s="18" t="s">
        <v>1</v>
      </c>
      <c r="F7" s="18" t="s">
        <v>2</v>
      </c>
      <c r="G7" s="18" t="s">
        <v>2</v>
      </c>
      <c r="H7" s="18" t="s">
        <v>3</v>
      </c>
      <c r="J7" s="18" t="s">
        <v>1</v>
      </c>
      <c r="K7" s="18" t="s">
        <v>1</v>
      </c>
      <c r="L7" s="18" t="s">
        <v>2</v>
      </c>
      <c r="M7" s="18" t="s">
        <v>2</v>
      </c>
      <c r="N7" s="18" t="s">
        <v>3</v>
      </c>
      <c r="P7" s="42">
        <v>1</v>
      </c>
      <c r="Q7" s="39">
        <v>75</v>
      </c>
      <c r="R7" s="39">
        <v>48</v>
      </c>
      <c r="S7" s="39">
        <v>36</v>
      </c>
      <c r="T7" s="39">
        <v>29</v>
      </c>
      <c r="U7" s="39">
        <v>22</v>
      </c>
      <c r="V7" s="26">
        <v>20</v>
      </c>
      <c r="W7" s="26">
        <v>16</v>
      </c>
      <c r="X7" s="26">
        <v>14</v>
      </c>
      <c r="Y7" s="26">
        <v>12</v>
      </c>
      <c r="Z7" s="26">
        <v>10</v>
      </c>
      <c r="AA7" s="26">
        <v>8</v>
      </c>
      <c r="AB7" s="26">
        <v>7</v>
      </c>
      <c r="AC7" s="26">
        <v>7</v>
      </c>
    </row>
    <row r="8" spans="1:29" x14ac:dyDescent="0.25">
      <c r="B8" s="37">
        <v>4</v>
      </c>
      <c r="C8" s="24"/>
      <c r="D8" s="9">
        <v>2.914709217808007</v>
      </c>
      <c r="E8" s="9">
        <v>3.2233152459785779</v>
      </c>
      <c r="F8" s="9">
        <v>185.44553158315932</v>
      </c>
      <c r="G8" s="9">
        <v>205.080289175513</v>
      </c>
      <c r="H8" s="9">
        <v>1467.8506022660195</v>
      </c>
      <c r="I8" s="24"/>
      <c r="J8" s="9">
        <v>2.686976579014476</v>
      </c>
      <c r="K8" s="9">
        <v>2.8578546051187956</v>
      </c>
      <c r="L8" s="22">
        <v>170.95626452287181</v>
      </c>
      <c r="M8" s="22">
        <v>181.8282122949476</v>
      </c>
      <c r="N8" s="22">
        <v>612.91413316992509</v>
      </c>
      <c r="O8" s="21"/>
      <c r="P8" s="42">
        <v>2</v>
      </c>
      <c r="Q8" s="39">
        <v>50</v>
      </c>
      <c r="R8" s="39">
        <v>53</v>
      </c>
      <c r="S8" s="39">
        <v>38</v>
      </c>
      <c r="T8" s="39">
        <v>31</v>
      </c>
      <c r="U8" s="39">
        <v>23</v>
      </c>
      <c r="V8" s="26">
        <v>20</v>
      </c>
      <c r="W8" s="26">
        <v>16</v>
      </c>
      <c r="X8" s="26">
        <v>14</v>
      </c>
      <c r="Y8" s="26">
        <v>12</v>
      </c>
      <c r="Z8" s="26">
        <v>10</v>
      </c>
      <c r="AA8" s="26">
        <v>9</v>
      </c>
      <c r="AB8" s="26">
        <v>8</v>
      </c>
      <c r="AC8" s="26">
        <v>7</v>
      </c>
    </row>
    <row r="9" spans="1:29" x14ac:dyDescent="0.25">
      <c r="B9" s="37">
        <v>5</v>
      </c>
      <c r="C9" s="24"/>
      <c r="D9" s="9">
        <v>3.4199208779938783</v>
      </c>
      <c r="E9" s="9">
        <v>3.8056767035104966</v>
      </c>
      <c r="F9" s="9">
        <v>174.07130462746431</v>
      </c>
      <c r="G9" s="9">
        <v>193.70597519759508</v>
      </c>
      <c r="H9" s="9">
        <v>1834.805120848861</v>
      </c>
      <c r="I9" s="24"/>
      <c r="J9" s="9">
        <v>3.3613873970641746</v>
      </c>
      <c r="K9" s="9">
        <v>3.5749864076627338</v>
      </c>
      <c r="L9" s="22">
        <v>171.09199611322839</v>
      </c>
      <c r="M9" s="22">
        <v>181.96401911273045</v>
      </c>
      <c r="N9" s="22">
        <v>766.14794718636028</v>
      </c>
      <c r="O9" s="21"/>
      <c r="P9" s="42">
        <v>3</v>
      </c>
      <c r="Q9" s="39">
        <v>35</v>
      </c>
      <c r="R9" s="39">
        <v>59</v>
      </c>
      <c r="S9" s="39">
        <v>42</v>
      </c>
      <c r="T9" s="39">
        <v>33</v>
      </c>
      <c r="U9" s="39">
        <v>25</v>
      </c>
      <c r="V9" s="26">
        <v>21</v>
      </c>
      <c r="W9" s="26">
        <v>17</v>
      </c>
      <c r="X9" s="26">
        <v>15</v>
      </c>
      <c r="Y9" s="26">
        <v>12</v>
      </c>
      <c r="Z9" s="26">
        <v>10</v>
      </c>
      <c r="AA9" s="26">
        <v>9</v>
      </c>
      <c r="AB9" s="26">
        <v>8</v>
      </c>
      <c r="AC9" s="26">
        <v>7</v>
      </c>
    </row>
    <row r="10" spans="1:29" x14ac:dyDescent="0.25">
      <c r="B10" s="37">
        <v>6</v>
      </c>
      <c r="C10" s="24"/>
      <c r="D10" s="9">
        <v>3.9254764624463698</v>
      </c>
      <c r="E10" s="9">
        <v>4.3885097426549446</v>
      </c>
      <c r="F10" s="9">
        <v>166.5030745543821</v>
      </c>
      <c r="G10" s="9">
        <v>186.14310182579302</v>
      </c>
      <c r="H10" s="9">
        <v>2202.3668275452892</v>
      </c>
      <c r="I10" s="24"/>
      <c r="J10" s="9">
        <v>4.031019446867024</v>
      </c>
      <c r="K10" s="9">
        <v>4.2873393926942178</v>
      </c>
      <c r="L10" s="22">
        <v>170.97978752713865</v>
      </c>
      <c r="M10" s="22">
        <v>181.85185858860754</v>
      </c>
      <c r="N10" s="22">
        <v>919.38158517866179</v>
      </c>
      <c r="O10" s="21"/>
      <c r="P10" s="43"/>
      <c r="Q10" s="39">
        <v>25</v>
      </c>
      <c r="R10" s="39">
        <v>67</v>
      </c>
      <c r="S10" s="39">
        <v>46</v>
      </c>
      <c r="T10" s="39">
        <v>35</v>
      </c>
      <c r="U10" s="39">
        <v>26</v>
      </c>
      <c r="V10" s="26">
        <v>22</v>
      </c>
      <c r="W10" s="26">
        <v>18</v>
      </c>
      <c r="X10" s="26">
        <v>15</v>
      </c>
      <c r="Y10" s="26">
        <v>13</v>
      </c>
      <c r="Z10" s="26">
        <v>10</v>
      </c>
      <c r="AA10" s="26">
        <v>9</v>
      </c>
      <c r="AB10" s="26">
        <v>8</v>
      </c>
      <c r="AC10" s="26">
        <v>7</v>
      </c>
    </row>
    <row r="11" spans="1:29" ht="15.75" thickBot="1" x14ac:dyDescent="0.3">
      <c r="B11" s="37">
        <v>7</v>
      </c>
      <c r="C11" s="21"/>
      <c r="D11" s="9">
        <v>4.431390932224021</v>
      </c>
      <c r="E11" s="9">
        <v>4.9718247652795542</v>
      </c>
      <c r="F11" s="9">
        <v>161.11024377579835</v>
      </c>
      <c r="G11" s="9">
        <v>180.75857269101951</v>
      </c>
      <c r="H11" s="9">
        <v>2570.5140370655386</v>
      </c>
      <c r="I11" s="24"/>
      <c r="J11" s="9">
        <v>4.6906618553854864</v>
      </c>
      <c r="K11" s="9">
        <v>4.9897003224266516</v>
      </c>
      <c r="L11" s="22">
        <v>170.53644928855726</v>
      </c>
      <c r="M11" s="22">
        <v>181.40846691467169</v>
      </c>
      <c r="N11" s="22">
        <v>1072.6065979885068</v>
      </c>
      <c r="O11" s="21"/>
      <c r="P11" s="43"/>
      <c r="Q11" s="39">
        <v>10</v>
      </c>
      <c r="R11" s="39">
        <v>158</v>
      </c>
      <c r="S11" s="39">
        <v>77</v>
      </c>
      <c r="T11" s="39">
        <v>51</v>
      </c>
      <c r="U11" s="39">
        <v>33</v>
      </c>
      <c r="V11" s="26">
        <v>27</v>
      </c>
      <c r="W11" s="26">
        <v>21</v>
      </c>
      <c r="X11" s="26">
        <v>17</v>
      </c>
      <c r="Y11" s="26">
        <v>14</v>
      </c>
      <c r="Z11" s="26">
        <v>11</v>
      </c>
      <c r="AA11" s="26">
        <v>10</v>
      </c>
      <c r="AB11" s="26">
        <v>8</v>
      </c>
      <c r="AC11" s="26">
        <v>7</v>
      </c>
    </row>
    <row r="12" spans="1:29" ht="15.75" thickBot="1" x14ac:dyDescent="0.3">
      <c r="B12" s="37">
        <v>8</v>
      </c>
      <c r="C12" s="21"/>
      <c r="D12" s="9">
        <v>4.4962230255331637</v>
      </c>
      <c r="E12" s="9">
        <v>5.038055390405118</v>
      </c>
      <c r="F12" s="9">
        <v>163.46731732613148</v>
      </c>
      <c r="G12" s="9">
        <v>183.16649208305739</v>
      </c>
      <c r="H12" s="9">
        <v>2577.1659997027955</v>
      </c>
      <c r="I12" s="24"/>
      <c r="J12" s="9">
        <v>4.7695454936717683</v>
      </c>
      <c r="K12" s="9">
        <v>5.0685932719123494</v>
      </c>
      <c r="L12" s="22">
        <v>173.40438903673166</v>
      </c>
      <c r="M12" s="22">
        <v>184.27674518626472</v>
      </c>
      <c r="N12" s="22">
        <v>1072.6398665494157</v>
      </c>
      <c r="O12" s="21"/>
      <c r="P12" s="21"/>
      <c r="Q12" s="7" t="s">
        <v>27</v>
      </c>
      <c r="R12" s="41"/>
      <c r="S12" s="41"/>
      <c r="T12" s="41"/>
      <c r="U12" s="41"/>
    </row>
    <row r="13" spans="1:29" x14ac:dyDescent="0.25">
      <c r="B13" s="37">
        <v>9</v>
      </c>
      <c r="C13" s="21"/>
      <c r="D13" s="9">
        <v>4.4519246334819798</v>
      </c>
      <c r="E13" s="9">
        <v>4.9764485228285551</v>
      </c>
      <c r="F13" s="9">
        <v>167.85147456349171</v>
      </c>
      <c r="G13" s="9">
        <v>187.62766475513476</v>
      </c>
      <c r="H13" s="9">
        <v>2494.8401411483114</v>
      </c>
      <c r="I13" s="24"/>
      <c r="J13" s="9">
        <v>4.6774402307442173</v>
      </c>
      <c r="K13" s="9">
        <v>4.9658173203886733</v>
      </c>
      <c r="L13" s="22">
        <v>176.35411749972829</v>
      </c>
      <c r="M13" s="22">
        <v>187.2268351920068</v>
      </c>
      <c r="N13" s="22">
        <v>1034.3655617268753</v>
      </c>
      <c r="O13" s="21"/>
      <c r="P13" s="21"/>
      <c r="Q13" s="39">
        <v>75</v>
      </c>
      <c r="R13" s="40"/>
      <c r="S13" s="40"/>
      <c r="T13" s="40"/>
      <c r="U13" s="40"/>
      <c r="V13" s="26"/>
      <c r="W13" s="26"/>
      <c r="X13" s="26"/>
      <c r="Y13" s="26"/>
      <c r="Z13" s="26"/>
      <c r="AA13" s="26"/>
      <c r="AB13" s="26"/>
      <c r="AC13" s="26"/>
    </row>
    <row r="14" spans="1:29" x14ac:dyDescent="0.25">
      <c r="B14" s="37">
        <v>10</v>
      </c>
      <c r="C14" s="21"/>
      <c r="D14" s="9">
        <v>4.8477570435836617</v>
      </c>
      <c r="E14" s="9">
        <v>5.4307419596981843</v>
      </c>
      <c r="F14" s="9">
        <v>164.49803434996269</v>
      </c>
      <c r="G14" s="9">
        <v>184.28035262506006</v>
      </c>
      <c r="H14" s="9">
        <v>2772.9035796985008</v>
      </c>
      <c r="I14" s="24"/>
      <c r="J14" s="9">
        <v>5.198371564290647</v>
      </c>
      <c r="K14" s="9">
        <v>5.5187921511796878</v>
      </c>
      <c r="L14" s="22">
        <v>176.39537139724538</v>
      </c>
      <c r="M14" s="22">
        <v>187.26814332756976</v>
      </c>
      <c r="N14" s="22">
        <v>1149.3007795905817</v>
      </c>
      <c r="O14" s="21"/>
      <c r="P14" s="21"/>
      <c r="Q14" s="39">
        <v>50</v>
      </c>
      <c r="R14" s="39"/>
      <c r="S14" s="39"/>
      <c r="T14" s="39"/>
      <c r="U14" s="39"/>
      <c r="V14" s="26"/>
      <c r="W14" s="26"/>
      <c r="X14" s="26"/>
      <c r="Y14" s="26"/>
      <c r="Z14" s="26"/>
      <c r="AA14" s="26"/>
      <c r="AB14" s="26"/>
      <c r="AC14" s="26"/>
    </row>
    <row r="15" spans="1:29" x14ac:dyDescent="0.25">
      <c r="B15" s="37">
        <v>11</v>
      </c>
      <c r="C15" s="21"/>
      <c r="D15" s="9">
        <v>4.637425776096781</v>
      </c>
      <c r="E15" s="9">
        <v>5.1744302041903403</v>
      </c>
      <c r="F15" s="9">
        <v>171.66643934580796</v>
      </c>
      <c r="G15" s="9">
        <v>191.54506221432183</v>
      </c>
      <c r="H15" s="9">
        <v>2554.2024498658725</v>
      </c>
      <c r="I15" s="24"/>
      <c r="J15" s="9">
        <v>4.8996360893435673</v>
      </c>
      <c r="K15" s="9">
        <v>5.1933699538244156</v>
      </c>
      <c r="L15" s="22">
        <v>181.37283962219382</v>
      </c>
      <c r="M15" s="22">
        <v>192.24616656375241</v>
      </c>
      <c r="N15" s="22">
        <v>1053.5792846354752</v>
      </c>
      <c r="O15" s="21"/>
      <c r="P15" s="21"/>
      <c r="Q15" s="39">
        <v>35</v>
      </c>
      <c r="R15" s="39"/>
      <c r="S15" s="39"/>
      <c r="T15" s="39"/>
      <c r="U15" s="39"/>
      <c r="V15" s="26"/>
      <c r="W15" s="26"/>
      <c r="X15" s="26"/>
      <c r="Y15" s="26"/>
      <c r="Z15" s="26"/>
      <c r="AA15" s="26"/>
      <c r="AB15" s="26"/>
      <c r="AC15" s="26"/>
    </row>
    <row r="16" spans="1:29" x14ac:dyDescent="0.25">
      <c r="B16" s="37">
        <v>12</v>
      </c>
      <c r="C16" s="21"/>
      <c r="D16" s="9">
        <v>4.3168938957922354</v>
      </c>
      <c r="E16" s="9">
        <v>4.7889475352470763</v>
      </c>
      <c r="F16" s="9">
        <v>183.10544288081348</v>
      </c>
      <c r="G16" s="9">
        <v>203.12807785920131</v>
      </c>
      <c r="H16" s="9">
        <v>2245.2711733572323</v>
      </c>
      <c r="I16" s="24"/>
      <c r="J16" s="9">
        <v>4.4320661056147053</v>
      </c>
      <c r="K16" s="9">
        <v>4.6884323611109311</v>
      </c>
      <c r="L16" s="22">
        <v>187.99058923747072</v>
      </c>
      <c r="M16" s="22">
        <v>198.8646245706272</v>
      </c>
      <c r="N16" s="22">
        <v>919.54704786254717</v>
      </c>
      <c r="O16" s="21"/>
      <c r="P16" s="21"/>
      <c r="Q16" s="39">
        <v>25</v>
      </c>
      <c r="R16" s="39"/>
      <c r="S16" s="39"/>
      <c r="T16" s="39"/>
      <c r="U16" s="39"/>
      <c r="V16" s="26"/>
      <c r="W16" s="26"/>
      <c r="X16" s="26"/>
      <c r="Y16" s="26"/>
      <c r="Z16" s="26"/>
      <c r="AA16" s="26"/>
      <c r="AB16" s="26"/>
      <c r="AC16" s="26"/>
    </row>
    <row r="17" spans="2:29" ht="15.75" thickBot="1" x14ac:dyDescent="0.3">
      <c r="B17" s="37">
        <v>13</v>
      </c>
      <c r="C17" s="21"/>
      <c r="D17" s="9">
        <v>4.6021651654352391</v>
      </c>
      <c r="E17" s="9">
        <v>5.1135887124807509</v>
      </c>
      <c r="F17" s="9">
        <v>180.18970502037988</v>
      </c>
      <c r="G17" s="9">
        <v>200.21359698643278</v>
      </c>
      <c r="H17" s="9">
        <v>2432.5298050524743</v>
      </c>
      <c r="I17" s="24"/>
      <c r="J17" s="9">
        <v>4.8044353214638935</v>
      </c>
      <c r="K17" s="9">
        <v>5.0821678332830693</v>
      </c>
      <c r="L17" s="22">
        <v>188.10923820510044</v>
      </c>
      <c r="M17" s="22">
        <v>198.98336757253998</v>
      </c>
      <c r="N17" s="22">
        <v>996.18454969418428</v>
      </c>
      <c r="O17" s="21"/>
      <c r="P17" s="21"/>
      <c r="Q17" s="39">
        <v>10</v>
      </c>
      <c r="R17" s="39"/>
      <c r="S17" s="39"/>
      <c r="T17" s="39"/>
      <c r="U17" s="39"/>
      <c r="V17" s="26"/>
      <c r="W17" s="26"/>
      <c r="X17" s="26"/>
      <c r="Y17" s="26"/>
      <c r="Z17" s="26"/>
      <c r="AA17" s="26"/>
      <c r="AB17" s="26"/>
      <c r="AC17" s="26"/>
    </row>
    <row r="18" spans="2:29" ht="15.75" thickBot="1" x14ac:dyDescent="0.3">
      <c r="B18" s="37">
        <v>14</v>
      </c>
      <c r="C18" s="21"/>
      <c r="D18" s="9">
        <v>4.8876388100151198</v>
      </c>
      <c r="E18" s="9">
        <v>5.438491534133334</v>
      </c>
      <c r="F18" s="9">
        <v>177.69785880172506</v>
      </c>
      <c r="G18" s="9">
        <v>197.72498302177382</v>
      </c>
      <c r="H18" s="9">
        <v>2620.0703455147345</v>
      </c>
      <c r="I18" s="24"/>
      <c r="J18" s="9">
        <v>5.1722026587822558</v>
      </c>
      <c r="K18" s="9">
        <v>5.471299209972134</v>
      </c>
      <c r="L18" s="22">
        <v>188.04362872946274</v>
      </c>
      <c r="M18" s="22">
        <v>198.91775809690213</v>
      </c>
      <c r="N18" s="22">
        <v>1072.8141304398912</v>
      </c>
      <c r="O18" s="21"/>
      <c r="P18" s="21"/>
      <c r="Q18" s="7" t="s">
        <v>30</v>
      </c>
      <c r="R18" s="41"/>
      <c r="S18" s="41"/>
      <c r="T18" s="41"/>
      <c r="U18" s="41"/>
    </row>
    <row r="19" spans="2:29" x14ac:dyDescent="0.25">
      <c r="B19" s="37">
        <v>15</v>
      </c>
      <c r="C19" s="21"/>
      <c r="D19" s="9">
        <v>4.5123083937286346</v>
      </c>
      <c r="E19" s="9">
        <v>4.9887958463585989</v>
      </c>
      <c r="F19" s="9">
        <v>191.39414745723428</v>
      </c>
      <c r="G19" s="9">
        <v>211.60484712858877</v>
      </c>
      <c r="H19" s="9">
        <v>2266.3601176595394</v>
      </c>
      <c r="I19" s="24"/>
      <c r="J19" s="9">
        <v>4.6469688211201579</v>
      </c>
      <c r="K19" s="9">
        <v>4.9033607439967763</v>
      </c>
      <c r="L19" s="22">
        <v>197.10590637261515</v>
      </c>
      <c r="M19" s="22">
        <v>207.98103041380287</v>
      </c>
      <c r="N19" s="22">
        <v>919.63875643521146</v>
      </c>
      <c r="O19" s="21"/>
      <c r="P19" s="21"/>
      <c r="Q19" s="39">
        <v>75</v>
      </c>
      <c r="R19" s="40"/>
      <c r="S19" s="40"/>
      <c r="T19" s="40"/>
      <c r="U19" s="40"/>
      <c r="V19" s="26"/>
      <c r="W19" s="26"/>
      <c r="X19" s="26"/>
      <c r="Y19" s="26"/>
      <c r="Z19" s="26"/>
      <c r="AA19" s="26"/>
      <c r="AB19" s="26"/>
      <c r="AC19" s="26"/>
    </row>
    <row r="20" spans="2:29" x14ac:dyDescent="0.25">
      <c r="B20" s="37">
        <v>16</v>
      </c>
      <c r="C20" s="21"/>
      <c r="D20" s="9">
        <v>4.7543611821698688</v>
      </c>
      <c r="E20" s="9">
        <v>5.2628494912673798</v>
      </c>
      <c r="F20" s="9">
        <v>189.05724612661547</v>
      </c>
      <c r="G20" s="9">
        <v>209.27729162212401</v>
      </c>
      <c r="H20" s="9">
        <v>2418.5686688578726</v>
      </c>
      <c r="I20" s="24"/>
      <c r="J20" s="9">
        <v>4.9564907483061011</v>
      </c>
      <c r="K20" s="9">
        <v>5.2299767502312768</v>
      </c>
      <c r="L20" s="22">
        <v>197.09493145809526</v>
      </c>
      <c r="M20" s="22">
        <v>207.97010656512285</v>
      </c>
      <c r="N20" s="22">
        <v>980.95259522659319</v>
      </c>
      <c r="O20" s="21"/>
      <c r="P20" s="21"/>
      <c r="Q20" s="39">
        <v>50</v>
      </c>
      <c r="R20" s="39"/>
      <c r="S20" s="39"/>
      <c r="T20" s="39"/>
      <c r="U20" s="39"/>
      <c r="V20" s="26"/>
      <c r="W20" s="26"/>
      <c r="X20" s="26"/>
      <c r="Y20" s="26"/>
      <c r="Z20" s="26"/>
      <c r="AA20" s="26"/>
      <c r="AB20" s="26"/>
      <c r="AC20" s="26"/>
    </row>
    <row r="21" spans="2:29" x14ac:dyDescent="0.25">
      <c r="B21" s="37">
        <v>17</v>
      </c>
      <c r="C21" s="21"/>
      <c r="D21" s="9">
        <v>4.9954443350514479</v>
      </c>
      <c r="E21" s="9">
        <v>5.5356861645087916</v>
      </c>
      <c r="F21" s="9">
        <v>186.95898488377375</v>
      </c>
      <c r="G21" s="9">
        <v>207.17801991903403</v>
      </c>
      <c r="H21" s="9">
        <v>2569.6007930861269</v>
      </c>
      <c r="I21" s="24"/>
      <c r="J21" s="9">
        <v>5.262276439666639</v>
      </c>
      <c r="K21" s="9">
        <v>5.5528545007505468</v>
      </c>
      <c r="L21" s="22">
        <v>196.94541573302135</v>
      </c>
      <c r="M21" s="22">
        <v>207.82056030195449</v>
      </c>
      <c r="N21" s="22">
        <v>1042.2592170285734</v>
      </c>
      <c r="O21" s="21"/>
      <c r="P21" s="21"/>
      <c r="Q21" s="39">
        <v>35</v>
      </c>
      <c r="R21" s="39"/>
      <c r="S21" s="39"/>
      <c r="T21" s="39"/>
      <c r="U21" s="39"/>
      <c r="V21" s="26"/>
      <c r="W21" s="26"/>
      <c r="X21" s="26"/>
      <c r="Y21" s="26"/>
      <c r="Z21" s="26"/>
      <c r="AA21" s="26"/>
      <c r="AB21" s="26"/>
      <c r="AC21" s="26"/>
    </row>
    <row r="22" spans="2:29" x14ac:dyDescent="0.25">
      <c r="B22" s="37">
        <v>18</v>
      </c>
      <c r="C22" s="21"/>
      <c r="D22" s="9">
        <v>4.641927944312509</v>
      </c>
      <c r="E22" s="9">
        <v>5.1115465876286033</v>
      </c>
      <c r="F22" s="9">
        <v>201.94060764981649</v>
      </c>
      <c r="G22" s="9">
        <v>222.37071241073386</v>
      </c>
      <c r="H22" s="9">
        <v>2233.6893822627426</v>
      </c>
      <c r="I22" s="24"/>
      <c r="J22" s="9">
        <v>4.7687482643459065</v>
      </c>
      <c r="K22" s="9">
        <v>5.0187570960352721</v>
      </c>
      <c r="L22" s="22">
        <v>207.45774897495644</v>
      </c>
      <c r="M22" s="22">
        <v>218.33403486195084</v>
      </c>
      <c r="N22" s="22">
        <v>896.74321020617469</v>
      </c>
      <c r="O22" s="21"/>
      <c r="P22" s="21"/>
      <c r="Q22" s="39">
        <v>25</v>
      </c>
      <c r="R22" s="39"/>
      <c r="S22" s="39"/>
      <c r="T22" s="39"/>
      <c r="U22" s="39"/>
      <c r="V22" s="26"/>
      <c r="W22" s="26"/>
      <c r="X22" s="26"/>
      <c r="Y22" s="26"/>
      <c r="Z22" s="26"/>
      <c r="AA22" s="26"/>
      <c r="AB22" s="26"/>
      <c r="AC22" s="26"/>
    </row>
    <row r="23" spans="2:29" x14ac:dyDescent="0.25">
      <c r="B23" s="37">
        <v>19</v>
      </c>
      <c r="C23" s="21"/>
      <c r="D23" s="9">
        <v>4.8503084288416662</v>
      </c>
      <c r="E23" s="9">
        <v>5.3460731634857526</v>
      </c>
      <c r="F23" s="9">
        <v>199.90033606810115</v>
      </c>
      <c r="G23" s="9">
        <v>220.33275568017382</v>
      </c>
      <c r="H23" s="9">
        <v>2358.0503875554905</v>
      </c>
      <c r="I23" s="24"/>
      <c r="J23" s="9">
        <v>5.0278878595385921</v>
      </c>
      <c r="K23" s="9">
        <v>5.2917853564149775</v>
      </c>
      <c r="L23" s="22">
        <v>207.2190846375762</v>
      </c>
      <c r="M23" s="22">
        <v>218.09534108333759</v>
      </c>
      <c r="N23" s="22">
        <v>946.55972508994046</v>
      </c>
      <c r="O23" s="21"/>
      <c r="P23" s="21"/>
      <c r="Q23" s="39">
        <v>10</v>
      </c>
      <c r="R23" s="39"/>
      <c r="S23" s="39"/>
      <c r="T23" s="39"/>
      <c r="U23" s="39"/>
      <c r="V23" s="26"/>
      <c r="W23" s="26"/>
      <c r="X23" s="26"/>
      <c r="Y23" s="26"/>
      <c r="Z23" s="26"/>
      <c r="AA23" s="26"/>
      <c r="AB23" s="26"/>
      <c r="AC23" s="26"/>
    </row>
    <row r="24" spans="2:29" x14ac:dyDescent="0.25">
      <c r="B24" s="37">
        <v>20</v>
      </c>
      <c r="C24" s="21"/>
      <c r="D24" s="9">
        <v>5.0595946941285348</v>
      </c>
      <c r="E24" s="9">
        <v>5.5817437378264723</v>
      </c>
      <c r="F24" s="9">
        <v>198.09955590141868</v>
      </c>
      <c r="G24" s="9">
        <v>218.54338587676179</v>
      </c>
      <c r="H24" s="9">
        <v>2483.5444492387733</v>
      </c>
      <c r="I24" s="24"/>
      <c r="J24" s="9">
        <v>5.2937583915896855</v>
      </c>
      <c r="K24" s="9">
        <v>5.5715480515110709</v>
      </c>
      <c r="L24" s="22">
        <v>207.26782476080365</v>
      </c>
      <c r="M24" s="22">
        <v>218.14419166194946</v>
      </c>
      <c r="N24" s="22">
        <v>996.38873768706333</v>
      </c>
      <c r="O24" s="21"/>
    </row>
    <row r="25" spans="2:29" x14ac:dyDescent="0.25">
      <c r="B25" s="37">
        <v>21</v>
      </c>
      <c r="C25" s="21"/>
      <c r="D25" s="9">
        <v>5.2680841034723862</v>
      </c>
      <c r="E25" s="9">
        <v>5.8164134324302585</v>
      </c>
      <c r="F25" s="9">
        <v>196.44056480128484</v>
      </c>
      <c r="G25" s="9">
        <v>216.88711063501509</v>
      </c>
      <c r="H25" s="9">
        <v>2608.0680942048034</v>
      </c>
      <c r="I25" s="24"/>
      <c r="J25" s="9">
        <v>5.554073242654483</v>
      </c>
      <c r="K25" s="9">
        <v>5.8457518633565249</v>
      </c>
      <c r="L25" s="22">
        <v>207.10475825843446</v>
      </c>
      <c r="M25" s="22">
        <v>217.98110568679121</v>
      </c>
      <c r="N25" s="22">
        <v>1046.2063087156193</v>
      </c>
      <c r="O25" s="21"/>
      <c r="R25" s="52" t="s">
        <v>37</v>
      </c>
      <c r="S25" s="53"/>
      <c r="T25" s="54"/>
      <c r="U25" s="29"/>
    </row>
    <row r="26" spans="2:29" x14ac:dyDescent="0.25">
      <c r="B26" s="37">
        <v>22</v>
      </c>
      <c r="C26" s="21"/>
      <c r="D26" s="9">
        <v>4.7488686132380433</v>
      </c>
      <c r="E26" s="9">
        <v>5.1980053253548988</v>
      </c>
      <c r="F26" s="9">
        <v>219.73973415316675</v>
      </c>
      <c r="G26" s="9">
        <v>240.52219619978266</v>
      </c>
      <c r="H26" s="9">
        <v>2136.2693311231242</v>
      </c>
      <c r="I26" s="24"/>
      <c r="J26" s="9">
        <v>4.8126672594807083</v>
      </c>
      <c r="K26" s="9">
        <v>5.0477584000238993</v>
      </c>
      <c r="L26" s="22">
        <v>222.6918262631938</v>
      </c>
      <c r="M26" s="22">
        <v>233.56996776003797</v>
      </c>
      <c r="N26" s="22">
        <v>843.23519067472523</v>
      </c>
      <c r="O26" s="21"/>
      <c r="Q26" s="39" t="s">
        <v>38</v>
      </c>
      <c r="R26" s="39">
        <f>R6</f>
        <v>1</v>
      </c>
      <c r="S26" s="39">
        <f>S6</f>
        <v>3</v>
      </c>
      <c r="T26" s="39">
        <f>T6</f>
        <v>5</v>
      </c>
      <c r="U26" s="39">
        <f t="shared" ref="U26:AA26" si="0">U6</f>
        <v>8</v>
      </c>
      <c r="V26" s="39">
        <f t="shared" si="0"/>
        <v>10</v>
      </c>
      <c r="W26" s="39">
        <f t="shared" si="0"/>
        <v>13</v>
      </c>
      <c r="X26" s="39">
        <f t="shared" si="0"/>
        <v>16</v>
      </c>
      <c r="Y26" s="39">
        <f t="shared" si="0"/>
        <v>20</v>
      </c>
      <c r="Z26" s="39">
        <f t="shared" si="0"/>
        <v>25</v>
      </c>
      <c r="AA26" s="39">
        <f t="shared" si="0"/>
        <v>30</v>
      </c>
    </row>
    <row r="27" spans="2:29" x14ac:dyDescent="0.25">
      <c r="B27" s="37">
        <v>23</v>
      </c>
      <c r="C27" s="21"/>
      <c r="D27" s="9">
        <v>4.9239971168146193</v>
      </c>
      <c r="E27" s="9">
        <v>5.3935334359043985</v>
      </c>
      <c r="F27" s="9">
        <v>217.93705371605046</v>
      </c>
      <c r="G27" s="9">
        <v>238.71882096072827</v>
      </c>
      <c r="H27" s="9">
        <v>2233.2978161423512</v>
      </c>
      <c r="I27" s="24"/>
      <c r="J27" s="9">
        <v>5.0266226809855503</v>
      </c>
      <c r="K27" s="9">
        <v>5.2723988956816266</v>
      </c>
      <c r="L27" s="22">
        <v>222.47928080529559</v>
      </c>
      <c r="M27" s="22">
        <v>233.35738305304776</v>
      </c>
      <c r="N27" s="22">
        <v>881.5608945437499</v>
      </c>
      <c r="O27" s="21"/>
      <c r="Q27" s="39">
        <v>75</v>
      </c>
      <c r="R27" s="39">
        <f>R7</f>
        <v>48</v>
      </c>
      <c r="S27" s="39">
        <f t="shared" ref="S27:T27" si="1">S7</f>
        <v>36</v>
      </c>
      <c r="T27" s="39">
        <f t="shared" si="1"/>
        <v>29</v>
      </c>
      <c r="U27" s="39">
        <f t="shared" ref="U27:AA27" si="2">U7</f>
        <v>22</v>
      </c>
      <c r="V27" s="39">
        <f t="shared" si="2"/>
        <v>20</v>
      </c>
      <c r="W27" s="39">
        <f t="shared" si="2"/>
        <v>16</v>
      </c>
      <c r="X27" s="39">
        <f t="shared" si="2"/>
        <v>14</v>
      </c>
      <c r="Y27" s="39">
        <f t="shared" si="2"/>
        <v>12</v>
      </c>
      <c r="Z27" s="39">
        <f t="shared" si="2"/>
        <v>10</v>
      </c>
      <c r="AA27" s="39">
        <f t="shared" si="2"/>
        <v>8</v>
      </c>
    </row>
    <row r="28" spans="2:29" x14ac:dyDescent="0.25">
      <c r="B28" s="37">
        <v>24</v>
      </c>
      <c r="C28" s="21"/>
      <c r="D28" s="9">
        <v>5.0996799036798874</v>
      </c>
      <c r="E28" s="9">
        <v>5.5897617238522033</v>
      </c>
      <c r="F28" s="9">
        <v>216.30810713783438</v>
      </c>
      <c r="G28" s="9">
        <v>237.09542572770178</v>
      </c>
      <c r="H28" s="9">
        <v>2331.0202304342474</v>
      </c>
      <c r="I28" s="24"/>
      <c r="J28" s="9">
        <v>5.247462793137597</v>
      </c>
      <c r="K28" s="9">
        <v>5.5039269886572706</v>
      </c>
      <c r="L28" s="22">
        <v>222.57646862124631</v>
      </c>
      <c r="M28" s="22">
        <v>233.45465818005715</v>
      </c>
      <c r="N28" s="22">
        <v>919.89698383654911</v>
      </c>
      <c r="O28" s="21"/>
      <c r="Q28" s="39">
        <v>50</v>
      </c>
      <c r="R28" s="39">
        <f t="shared" ref="R28:T31" si="3">R8</f>
        <v>53</v>
      </c>
      <c r="S28" s="39">
        <f t="shared" si="3"/>
        <v>38</v>
      </c>
      <c r="T28" s="39">
        <f t="shared" si="3"/>
        <v>31</v>
      </c>
      <c r="U28" s="39">
        <f t="shared" ref="U28:AA28" si="4">U8</f>
        <v>23</v>
      </c>
      <c r="V28" s="39">
        <f t="shared" si="4"/>
        <v>20</v>
      </c>
      <c r="W28" s="39">
        <f t="shared" si="4"/>
        <v>16</v>
      </c>
      <c r="X28" s="39">
        <f t="shared" si="4"/>
        <v>14</v>
      </c>
      <c r="Y28" s="39">
        <f t="shared" si="4"/>
        <v>12</v>
      </c>
      <c r="Z28" s="39">
        <f t="shared" si="4"/>
        <v>10</v>
      </c>
      <c r="AA28" s="39">
        <f t="shared" si="4"/>
        <v>9</v>
      </c>
    </row>
    <row r="29" spans="2:29" x14ac:dyDescent="0.25">
      <c r="B29" s="37">
        <v>25</v>
      </c>
      <c r="C29" s="21"/>
      <c r="D29" s="9">
        <v>5.2746749490868226</v>
      </c>
      <c r="E29" s="9">
        <v>5.7851256016933137</v>
      </c>
      <c r="F29" s="9">
        <v>214.78147188292709</v>
      </c>
      <c r="G29" s="9">
        <v>235.5667038732706</v>
      </c>
      <c r="H29" s="9">
        <v>2427.9023397475203</v>
      </c>
      <c r="I29" s="24"/>
      <c r="J29" s="9">
        <v>5.4693657033742431</v>
      </c>
      <c r="K29" s="9">
        <v>5.7365159583589085</v>
      </c>
      <c r="L29" s="22">
        <v>222.70915788660946</v>
      </c>
      <c r="M29" s="22">
        <v>233.58734953507101</v>
      </c>
      <c r="N29" s="22">
        <v>958.22620818820917</v>
      </c>
      <c r="O29" s="21"/>
      <c r="Q29" s="39">
        <v>35</v>
      </c>
      <c r="R29" s="39">
        <f t="shared" si="3"/>
        <v>59</v>
      </c>
      <c r="S29" s="39">
        <f t="shared" si="3"/>
        <v>42</v>
      </c>
      <c r="T29" s="39">
        <f t="shared" si="3"/>
        <v>33</v>
      </c>
      <c r="U29" s="39">
        <f t="shared" ref="U29:AA29" si="5">U9</f>
        <v>25</v>
      </c>
      <c r="V29" s="39">
        <f t="shared" si="5"/>
        <v>21</v>
      </c>
      <c r="W29" s="39">
        <f t="shared" si="5"/>
        <v>17</v>
      </c>
      <c r="X29" s="39">
        <f t="shared" si="5"/>
        <v>15</v>
      </c>
      <c r="Y29" s="39">
        <f t="shared" si="5"/>
        <v>12</v>
      </c>
      <c r="Z29" s="39">
        <f t="shared" si="5"/>
        <v>10</v>
      </c>
      <c r="AA29" s="39">
        <f t="shared" si="5"/>
        <v>9</v>
      </c>
    </row>
    <row r="30" spans="2:29" x14ac:dyDescent="0.25">
      <c r="B30" s="37">
        <v>26</v>
      </c>
      <c r="C30" s="21"/>
      <c r="D30" s="9">
        <v>5.451010890482249</v>
      </c>
      <c r="E30" s="9">
        <v>5.9821802934264516</v>
      </c>
      <c r="F30" s="9">
        <v>213.42477053971265</v>
      </c>
      <c r="G30" s="9">
        <v>234.22177685995749</v>
      </c>
      <c r="H30" s="9">
        <v>2526.4487950507173</v>
      </c>
      <c r="I30" s="24"/>
      <c r="J30" s="9">
        <v>5.6800054087359175</v>
      </c>
      <c r="K30" s="9">
        <v>5.9578417231855756</v>
      </c>
      <c r="L30" s="22">
        <v>222.39064925378318</v>
      </c>
      <c r="M30" s="22">
        <v>233.26884283115314</v>
      </c>
      <c r="N30" s="22">
        <v>996.55543253986923</v>
      </c>
      <c r="O30" s="21"/>
      <c r="Q30" s="39">
        <v>25</v>
      </c>
      <c r="R30" s="39">
        <f t="shared" si="3"/>
        <v>67</v>
      </c>
      <c r="S30" s="39">
        <f t="shared" si="3"/>
        <v>46</v>
      </c>
      <c r="T30" s="39">
        <f t="shared" si="3"/>
        <v>35</v>
      </c>
      <c r="U30" s="39">
        <f t="shared" ref="U30:AA30" si="6">U10</f>
        <v>26</v>
      </c>
      <c r="V30" s="39">
        <f t="shared" si="6"/>
        <v>22</v>
      </c>
      <c r="W30" s="39">
        <f t="shared" si="6"/>
        <v>18</v>
      </c>
      <c r="X30" s="39">
        <f t="shared" si="6"/>
        <v>15</v>
      </c>
      <c r="Y30" s="39">
        <f t="shared" si="6"/>
        <v>13</v>
      </c>
      <c r="Z30" s="39">
        <f t="shared" si="6"/>
        <v>10</v>
      </c>
      <c r="AA30" s="39">
        <f t="shared" si="6"/>
        <v>9</v>
      </c>
    </row>
    <row r="31" spans="2:29" x14ac:dyDescent="0.25">
      <c r="B31" s="37">
        <v>27</v>
      </c>
      <c r="C31" s="21"/>
      <c r="D31" s="9">
        <v>5.6255535073786831</v>
      </c>
      <c r="E31" s="9">
        <v>6.1769777629839178</v>
      </c>
      <c r="F31" s="9">
        <v>212.10095165308391</v>
      </c>
      <c r="G31" s="9">
        <v>232.89136973817682</v>
      </c>
      <c r="H31" s="9">
        <v>2622.7887721197148</v>
      </c>
      <c r="I31" s="24"/>
      <c r="J31" s="9">
        <v>5.9069798708815462</v>
      </c>
      <c r="K31" s="9">
        <v>6.1955044617484401</v>
      </c>
      <c r="L31" s="22">
        <v>222.71160524315843</v>
      </c>
      <c r="M31" s="22">
        <v>233.58988419258401</v>
      </c>
      <c r="N31" s="22">
        <v>1034.8925779774604</v>
      </c>
      <c r="O31" s="21"/>
      <c r="Q31" s="39">
        <v>10</v>
      </c>
      <c r="R31" s="39">
        <f t="shared" si="3"/>
        <v>158</v>
      </c>
      <c r="S31" s="39">
        <f t="shared" si="3"/>
        <v>77</v>
      </c>
      <c r="T31" s="39">
        <f t="shared" si="3"/>
        <v>51</v>
      </c>
      <c r="U31" s="39">
        <f t="shared" ref="U31:AA31" si="7">U11</f>
        <v>33</v>
      </c>
      <c r="V31" s="39">
        <f t="shared" si="7"/>
        <v>27</v>
      </c>
      <c r="W31" s="39">
        <f t="shared" si="7"/>
        <v>21</v>
      </c>
      <c r="X31" s="39">
        <f t="shared" si="7"/>
        <v>17</v>
      </c>
      <c r="Y31" s="39">
        <f t="shared" si="7"/>
        <v>14</v>
      </c>
      <c r="Z31" s="39">
        <f t="shared" si="7"/>
        <v>11</v>
      </c>
      <c r="AA31" s="39">
        <f t="shared" si="7"/>
        <v>10</v>
      </c>
    </row>
    <row r="32" spans="2:29" x14ac:dyDescent="0.25">
      <c r="B32" s="37">
        <v>28</v>
      </c>
      <c r="C32" s="21"/>
      <c r="D32" s="9">
        <v>5.1836109381129267</v>
      </c>
      <c r="E32" s="9">
        <v>5.6491621361492612</v>
      </c>
      <c r="F32" s="9">
        <v>235.57299351693999</v>
      </c>
      <c r="G32" s="9">
        <v>256.73030849797954</v>
      </c>
      <c r="H32" s="9">
        <v>2214.3430265257171</v>
      </c>
      <c r="I32" s="24"/>
      <c r="J32" s="9">
        <v>5.2819988622836123</v>
      </c>
      <c r="K32" s="9">
        <v>5.5214068640052512</v>
      </c>
      <c r="L32" s="22">
        <v>240.04430475142934</v>
      </c>
      <c r="M32" s="22">
        <v>250.92437663776704</v>
      </c>
      <c r="N32" s="22">
        <v>858.71850760251505</v>
      </c>
      <c r="O32" s="21"/>
      <c r="U32" s="29"/>
    </row>
    <row r="33" spans="2:21" x14ac:dyDescent="0.25">
      <c r="B33" s="37">
        <v>29</v>
      </c>
      <c r="C33" s="21"/>
      <c r="D33" s="9">
        <v>5.3370336135012142</v>
      </c>
      <c r="E33" s="9">
        <v>5.8192765270954157</v>
      </c>
      <c r="F33" s="9">
        <v>234.18176484744478</v>
      </c>
      <c r="G33" s="9">
        <v>255.34192698413733</v>
      </c>
      <c r="H33" s="9">
        <v>2293.7353341864118</v>
      </c>
      <c r="I33" s="24"/>
      <c r="J33" s="9">
        <v>5.4737633292017476</v>
      </c>
      <c r="K33" s="9">
        <v>5.7217242084218976</v>
      </c>
      <c r="L33" s="22">
        <v>240.18127851901684</v>
      </c>
      <c r="M33" s="22">
        <v>251.06146412661786</v>
      </c>
      <c r="N33" s="22">
        <v>889.39628585782248</v>
      </c>
      <c r="O33" s="21"/>
      <c r="Q33" s="29"/>
      <c r="R33" s="29"/>
      <c r="S33" s="29"/>
      <c r="T33" s="29"/>
      <c r="U33" s="29"/>
    </row>
    <row r="34" spans="2:21" x14ac:dyDescent="0.25">
      <c r="B34" s="37">
        <v>30</v>
      </c>
      <c r="C34" s="21"/>
      <c r="D34" s="9">
        <v>5.4910967710374328</v>
      </c>
      <c r="E34" s="9">
        <v>5.9901989504560103</v>
      </c>
      <c r="F34" s="9">
        <v>232.91045145729578</v>
      </c>
      <c r="G34" s="9">
        <v>254.0803777541399</v>
      </c>
      <c r="H34" s="9">
        <v>2373.9245762461919</v>
      </c>
      <c r="I34" s="24"/>
      <c r="J34" s="9">
        <v>5.655972052039985</v>
      </c>
      <c r="K34" s="9">
        <v>5.9124829020879321</v>
      </c>
      <c r="L34" s="22">
        <v>239.90380410316396</v>
      </c>
      <c r="M34" s="22">
        <v>250.78397256121772</v>
      </c>
      <c r="N34" s="22">
        <v>920.06367868935627</v>
      </c>
      <c r="O34" s="21"/>
      <c r="R34" s="52" t="s">
        <v>39</v>
      </c>
      <c r="S34" s="53"/>
      <c r="T34" s="54"/>
      <c r="U34" s="29"/>
    </row>
    <row r="35" spans="2:21" x14ac:dyDescent="0.25">
      <c r="B35" s="37">
        <v>31</v>
      </c>
      <c r="C35" s="21"/>
      <c r="D35" s="9">
        <v>5.64409282812729</v>
      </c>
      <c r="E35" s="9">
        <v>6.1597784423192534</v>
      </c>
      <c r="F35" s="9">
        <v>231.67735620504502</v>
      </c>
      <c r="G35" s="9">
        <v>252.84509447001079</v>
      </c>
      <c r="H35" s="9">
        <v>2452.8018582748268</v>
      </c>
      <c r="I35" s="24"/>
      <c r="J35" s="9">
        <v>5.8518406956548841</v>
      </c>
      <c r="K35" s="9">
        <v>6.1169032408268134</v>
      </c>
      <c r="L35" s="22">
        <v>240.20494038405977</v>
      </c>
      <c r="M35" s="22">
        <v>251.08516357748098</v>
      </c>
      <c r="N35" s="22">
        <v>950.73723236550143</v>
      </c>
      <c r="O35" s="21"/>
      <c r="Q35" s="39" t="s">
        <v>38</v>
      </c>
      <c r="R35" s="42">
        <v>1</v>
      </c>
      <c r="S35" s="42">
        <v>2</v>
      </c>
      <c r="T35" s="42">
        <v>3</v>
      </c>
    </row>
    <row r="36" spans="2:21" x14ac:dyDescent="0.25">
      <c r="B36" s="37">
        <v>32</v>
      </c>
      <c r="C36" s="21"/>
      <c r="D36" s="9">
        <v>5.7978614710423804</v>
      </c>
      <c r="E36" s="9">
        <v>6.3303322642061772</v>
      </c>
      <c r="F36" s="9">
        <v>230.55205129337955</v>
      </c>
      <c r="G36" s="9">
        <v>251.72576063963874</v>
      </c>
      <c r="H36" s="9">
        <v>2532.6387143758261</v>
      </c>
      <c r="I36" s="24"/>
      <c r="J36" s="9">
        <v>6.0381727765058359</v>
      </c>
      <c r="K36" s="9">
        <v>6.3117872631297729</v>
      </c>
      <c r="L36" s="22">
        <v>240.10803408122436</v>
      </c>
      <c r="M36" s="22">
        <v>250.98831838429035</v>
      </c>
      <c r="N36" s="22">
        <v>981.41166616230635</v>
      </c>
      <c r="O36" s="21"/>
      <c r="Q36" s="39">
        <v>75</v>
      </c>
      <c r="R36" s="39">
        <f>R7</f>
        <v>48</v>
      </c>
      <c r="S36" s="39">
        <f>R13</f>
        <v>0</v>
      </c>
      <c r="T36" s="39">
        <f>R19</f>
        <v>0</v>
      </c>
    </row>
    <row r="37" spans="2:21" x14ac:dyDescent="0.25">
      <c r="B37" s="37">
        <v>33</v>
      </c>
      <c r="C37" s="21"/>
      <c r="D37" s="9">
        <v>5.9515292299738451</v>
      </c>
      <c r="E37" s="9">
        <v>6.5007601265593902</v>
      </c>
      <c r="F37" s="9">
        <v>229.4910565914652</v>
      </c>
      <c r="G37" s="9">
        <v>250.66940822171475</v>
      </c>
      <c r="H37" s="9">
        <v>2612.3563013830881</v>
      </c>
      <c r="I37" s="24"/>
      <c r="J37" s="9">
        <v>6.2253409066151768</v>
      </c>
      <c r="K37" s="9">
        <v>6.5075063001134135</v>
      </c>
      <c r="L37" s="22">
        <v>240.0492389596254</v>
      </c>
      <c r="M37" s="22">
        <v>250.92954077538937</v>
      </c>
      <c r="N37" s="22">
        <v>1012.0824034523447</v>
      </c>
      <c r="O37" s="21"/>
      <c r="Q37" s="39">
        <v>50</v>
      </c>
      <c r="R37" s="39">
        <f t="shared" ref="R37:R40" si="8">R8</f>
        <v>53</v>
      </c>
      <c r="S37" s="39">
        <f t="shared" ref="S37:S40" si="9">R14</f>
        <v>0</v>
      </c>
      <c r="T37" s="39">
        <f t="shared" ref="T37:T40" si="10">R20</f>
        <v>0</v>
      </c>
    </row>
    <row r="38" spans="2:21" x14ac:dyDescent="0.25">
      <c r="B38" s="37">
        <v>34</v>
      </c>
      <c r="D38" s="9">
        <v>4.9773249975471447</v>
      </c>
      <c r="E38" s="9">
        <v>5.348777840005523</v>
      </c>
      <c r="F38" s="9">
        <v>298.04936388096894</v>
      </c>
      <c r="G38" s="9">
        <v>320.29249316448096</v>
      </c>
      <c r="H38" s="9">
        <v>1766.7745563757928</v>
      </c>
      <c r="I38" s="24"/>
      <c r="J38" s="9">
        <v>4.8888790705727674</v>
      </c>
      <c r="K38" s="9">
        <v>5.0706668712559964</v>
      </c>
      <c r="L38" s="22">
        <v>292.75309484377192</v>
      </c>
      <c r="M38" s="22">
        <v>303.6388092348671</v>
      </c>
      <c r="N38" s="22">
        <v>652.04268310405246</v>
      </c>
      <c r="Q38" s="39">
        <v>35</v>
      </c>
      <c r="R38" s="39">
        <f t="shared" si="8"/>
        <v>59</v>
      </c>
      <c r="S38" s="39">
        <f t="shared" si="9"/>
        <v>0</v>
      </c>
      <c r="T38" s="39">
        <f t="shared" si="10"/>
        <v>0</v>
      </c>
    </row>
    <row r="39" spans="2:21" x14ac:dyDescent="0.25">
      <c r="B39" s="37">
        <v>35</v>
      </c>
      <c r="D39" s="9">
        <v>5.0984163130538125</v>
      </c>
      <c r="E39" s="9">
        <v>5.4810503248453815</v>
      </c>
      <c r="F39" s="9">
        <v>296.57761461523245</v>
      </c>
      <c r="G39" s="9">
        <v>318.83564054325404</v>
      </c>
      <c r="H39" s="9">
        <v>1819.9565575086133</v>
      </c>
      <c r="I39" s="24"/>
      <c r="J39" s="9">
        <v>5.0332569489958097</v>
      </c>
      <c r="K39" s="9">
        <v>5.2203932971593368</v>
      </c>
      <c r="L39" s="22">
        <v>292.78725941950444</v>
      </c>
      <c r="M39" s="22">
        <v>303.67308127835167</v>
      </c>
      <c r="N39" s="22">
        <v>671.22700998264224</v>
      </c>
      <c r="Q39" s="39">
        <v>25</v>
      </c>
      <c r="R39" s="39">
        <f t="shared" si="8"/>
        <v>67</v>
      </c>
      <c r="S39" s="39">
        <f t="shared" si="9"/>
        <v>0</v>
      </c>
      <c r="T39" s="39">
        <f t="shared" si="10"/>
        <v>0</v>
      </c>
    </row>
    <row r="40" spans="2:21" x14ac:dyDescent="0.25">
      <c r="B40" s="37">
        <v>36</v>
      </c>
      <c r="D40" s="9">
        <v>5.2178935012018757</v>
      </c>
      <c r="E40" s="9">
        <v>5.6112903765592153</v>
      </c>
      <c r="F40" s="9">
        <v>295.09634272727425</v>
      </c>
      <c r="G40" s="9">
        <v>317.34478055597822</v>
      </c>
      <c r="H40" s="9">
        <v>1871.1489333049467</v>
      </c>
      <c r="I40" s="24"/>
      <c r="J40" s="9">
        <v>5.1871093950546134</v>
      </c>
      <c r="K40" s="9">
        <v>5.3795940443704069</v>
      </c>
      <c r="L40" s="22">
        <v>293.3553571866355</v>
      </c>
      <c r="M40" s="22">
        <v>304.24126661179895</v>
      </c>
      <c r="N40" s="22">
        <v>690.41045674057466</v>
      </c>
      <c r="Q40" s="39">
        <v>10</v>
      </c>
      <c r="R40" s="39">
        <f t="shared" si="8"/>
        <v>158</v>
      </c>
      <c r="S40" s="39">
        <f t="shared" si="9"/>
        <v>0</v>
      </c>
      <c r="T40" s="39">
        <f t="shared" si="10"/>
        <v>0</v>
      </c>
    </row>
    <row r="41" spans="2:21" x14ac:dyDescent="0.25">
      <c r="B41" s="37">
        <v>37</v>
      </c>
      <c r="D41" s="9">
        <v>5.3392646754816777</v>
      </c>
      <c r="E41" s="9">
        <v>5.7439168070247444</v>
      </c>
      <c r="F41" s="9">
        <v>293.79935841867194</v>
      </c>
      <c r="G41" s="9">
        <v>316.06582091041491</v>
      </c>
      <c r="H41" s="9">
        <v>1924.6833203965491</v>
      </c>
      <c r="I41" s="24"/>
      <c r="J41" s="9">
        <v>5.3147126501178565</v>
      </c>
      <c r="K41" s="9">
        <v>5.5125425953839926</v>
      </c>
      <c r="L41" s="22">
        <v>292.44835416280614</v>
      </c>
      <c r="M41" s="22">
        <v>303.33418105617852</v>
      </c>
      <c r="N41" s="22">
        <v>709.58316602646744</v>
      </c>
    </row>
    <row r="42" spans="2:21" x14ac:dyDescent="0.25">
      <c r="B42" s="37">
        <v>38</v>
      </c>
      <c r="D42" s="9">
        <v>5.4592853691085557</v>
      </c>
      <c r="E42" s="9">
        <v>5.874842838933823</v>
      </c>
      <c r="F42" s="9">
        <v>292.49828021930955</v>
      </c>
      <c r="G42" s="9">
        <v>314.76307076203693</v>
      </c>
      <c r="H42" s="9">
        <v>1976.5533614982251</v>
      </c>
      <c r="I42" s="24"/>
      <c r="J42" s="9">
        <v>5.4662454533248024</v>
      </c>
      <c r="K42" s="9">
        <v>5.6694239460712321</v>
      </c>
      <c r="L42" s="22">
        <v>292.87118848949325</v>
      </c>
      <c r="M42" s="22">
        <v>303.75711140573503</v>
      </c>
      <c r="N42" s="22">
        <v>728.76749290505757</v>
      </c>
    </row>
    <row r="43" spans="2:21" x14ac:dyDescent="0.25">
      <c r="B43" s="37">
        <v>39</v>
      </c>
      <c r="D43" s="9">
        <v>5.5803660301704907</v>
      </c>
      <c r="E43" s="9">
        <v>6.0071046693289478</v>
      </c>
      <c r="F43" s="9">
        <v>291.31925886658883</v>
      </c>
      <c r="G43" s="9">
        <v>313.59686277594744</v>
      </c>
      <c r="H43" s="9">
        <v>2029.7353626310492</v>
      </c>
      <c r="I43" s="24"/>
      <c r="J43" s="9">
        <v>5.6074088273362772</v>
      </c>
      <c r="K43" s="9">
        <v>5.8159351285789205</v>
      </c>
      <c r="L43" s="22">
        <v>292.73100992116537</v>
      </c>
      <c r="M43" s="22">
        <v>303.61698535785945</v>
      </c>
      <c r="N43" s="22">
        <v>747.94917942167194</v>
      </c>
    </row>
    <row r="44" spans="2:21" x14ac:dyDescent="0.25">
      <c r="B44" s="37">
        <v>40</v>
      </c>
      <c r="D44" s="9">
        <v>5.7002281209253667</v>
      </c>
      <c r="E44" s="9">
        <v>6.137832205445414</v>
      </c>
      <c r="F44" s="9">
        <v>290.13716430354623</v>
      </c>
      <c r="G44" s="9">
        <v>312.41087080736327</v>
      </c>
      <c r="H44" s="9">
        <v>2081.4156574472299</v>
      </c>
      <c r="I44" s="24"/>
      <c r="J44" s="9">
        <v>5.7484888880709821</v>
      </c>
      <c r="K44" s="9">
        <v>5.9623619632321292</v>
      </c>
      <c r="L44" s="22">
        <v>292.59359970046319</v>
      </c>
      <c r="M44" s="22">
        <v>303.47957237238859</v>
      </c>
      <c r="N44" s="22">
        <v>767.12716943151815</v>
      </c>
    </row>
    <row r="45" spans="2:21" x14ac:dyDescent="0.25">
      <c r="B45" s="37">
        <v>41</v>
      </c>
      <c r="D45" s="9">
        <v>5.8206234923186724</v>
      </c>
      <c r="E45" s="9">
        <v>6.2692320775235517</v>
      </c>
      <c r="F45" s="9">
        <v>289.03921442012091</v>
      </c>
      <c r="G45" s="9">
        <v>311.3161188137579</v>
      </c>
      <c r="H45" s="9">
        <v>2133.7573536014252</v>
      </c>
      <c r="I45" s="24"/>
      <c r="J45" s="9">
        <v>5.8963389981490968</v>
      </c>
      <c r="K45" s="9">
        <v>6.1155603744625173</v>
      </c>
      <c r="L45" s="22">
        <v>292.79907800750613</v>
      </c>
      <c r="M45" s="22">
        <v>303.68512388856129</v>
      </c>
      <c r="N45" s="22">
        <v>786.31061618945034</v>
      </c>
    </row>
    <row r="46" spans="2:21" x14ac:dyDescent="0.25">
      <c r="B46" s="37">
        <v>42</v>
      </c>
      <c r="D46" s="9">
        <v>5.9413151323826767</v>
      </c>
      <c r="E46" s="9">
        <v>6.4010057245181118</v>
      </c>
      <c r="F46" s="9">
        <v>288.00790962086205</v>
      </c>
      <c r="G46" s="9">
        <v>310.29161677379471</v>
      </c>
      <c r="H46" s="9">
        <v>2186.4676996817298</v>
      </c>
      <c r="I46" s="24"/>
      <c r="J46" s="9">
        <v>6.0410219347455074</v>
      </c>
      <c r="K46" s="9">
        <v>6.2655913658831661</v>
      </c>
      <c r="L46" s="22">
        <v>292.84124148151074</v>
      </c>
      <c r="M46" s="22">
        <v>303.72734514468493</v>
      </c>
      <c r="N46" s="22">
        <v>805.49318282672243</v>
      </c>
    </row>
    <row r="47" spans="2:21" x14ac:dyDescent="0.25">
      <c r="B47" s="37">
        <v>43</v>
      </c>
      <c r="D47" s="9">
        <v>6.0616094414483905</v>
      </c>
      <c r="E47" s="9">
        <v>6.5322794587185635</v>
      </c>
      <c r="F47" s="9">
        <v>287.00575961428149</v>
      </c>
      <c r="G47" s="9">
        <v>309.29109606479608</v>
      </c>
      <c r="H47" s="9">
        <v>2238.690126742184</v>
      </c>
      <c r="I47" s="24"/>
      <c r="J47" s="9">
        <v>6.1875973728779101</v>
      </c>
      <c r="K47" s="9">
        <v>6.4175151051678387</v>
      </c>
      <c r="L47" s="22">
        <v>292.97105023741364</v>
      </c>
      <c r="M47" s="22">
        <v>303.85722065833352</v>
      </c>
      <c r="N47" s="22">
        <v>824.67662958465473</v>
      </c>
    </row>
    <row r="48" spans="2:21" x14ac:dyDescent="0.25">
      <c r="B48" s="37">
        <v>44</v>
      </c>
      <c r="D48" s="9">
        <v>6.1821299104242557</v>
      </c>
      <c r="E48" s="9">
        <v>6.6638386223112001</v>
      </c>
      <c r="F48" s="9">
        <v>286.05962675617025</v>
      </c>
      <c r="G48" s="9">
        <v>308.3492609638277</v>
      </c>
      <c r="H48" s="9">
        <v>2291.1944625696633</v>
      </c>
      <c r="I48" s="24"/>
      <c r="J48" s="9">
        <v>6.3226222702122818</v>
      </c>
      <c r="K48" s="9">
        <v>6.5578852984525566</v>
      </c>
      <c r="L48" s="22">
        <v>292.56049176311382</v>
      </c>
      <c r="M48" s="22">
        <v>303.4465868505788</v>
      </c>
      <c r="N48" s="22">
        <v>843.8493388705474</v>
      </c>
    </row>
    <row r="49" spans="2:32" x14ac:dyDescent="0.25">
      <c r="B49" s="37">
        <v>45</v>
      </c>
      <c r="D49" s="9">
        <v>6.3031004993573445</v>
      </c>
      <c r="E49" s="9">
        <v>6.7959653050273845</v>
      </c>
      <c r="F49" s="9">
        <v>285.17590936256192</v>
      </c>
      <c r="G49" s="9">
        <v>307.47496189457951</v>
      </c>
      <c r="H49" s="9">
        <v>2344.2571946087455</v>
      </c>
      <c r="I49" s="24"/>
      <c r="J49" s="9">
        <v>6.4696405825344048</v>
      </c>
      <c r="K49" s="9">
        <v>6.7102533898951027</v>
      </c>
      <c r="L49" s="22">
        <v>292.71080741316052</v>
      </c>
      <c r="M49" s="22">
        <v>303.5970333507546</v>
      </c>
      <c r="N49" s="22">
        <v>863.03806635243302</v>
      </c>
    </row>
    <row r="50" spans="2:32" x14ac:dyDescent="0.25">
      <c r="B50" s="37">
        <v>46</v>
      </c>
      <c r="D50" s="9">
        <v>6.4234851726619331</v>
      </c>
      <c r="E50" s="9">
        <v>6.9273544790167998</v>
      </c>
      <c r="F50" s="9">
        <v>284.30468172660022</v>
      </c>
      <c r="G50" s="9">
        <v>306.60603355110493</v>
      </c>
      <c r="H50" s="9">
        <v>2396.598890762943</v>
      </c>
      <c r="I50" s="24"/>
      <c r="J50" s="9">
        <v>6.6135307608464418</v>
      </c>
      <c r="K50" s="9">
        <v>6.8594906377192766</v>
      </c>
      <c r="L50" s="22">
        <v>292.71613579086647</v>
      </c>
      <c r="M50" s="22">
        <v>303.60236696167289</v>
      </c>
      <c r="N50" s="22">
        <v>882.2171125070696</v>
      </c>
    </row>
    <row r="51" spans="2:32" x14ac:dyDescent="0.25">
      <c r="B51" s="37">
        <v>47</v>
      </c>
      <c r="D51" s="9">
        <v>6.543595700186609</v>
      </c>
      <c r="E51" s="9">
        <v>7.0583988397669533</v>
      </c>
      <c r="F51" s="9">
        <v>283.45865202721421</v>
      </c>
      <c r="G51" s="9">
        <v>305.75914409469641</v>
      </c>
      <c r="H51" s="9">
        <v>2448.604464925686</v>
      </c>
      <c r="I51" s="24"/>
      <c r="J51" s="9">
        <v>6.7538953338768462</v>
      </c>
      <c r="K51" s="9">
        <v>7.0052014920121337</v>
      </c>
      <c r="L51" s="22">
        <v>292.56851354967216</v>
      </c>
      <c r="M51" s="22">
        <v>303.45471558521893</v>
      </c>
      <c r="N51" s="22">
        <v>901.393342275598</v>
      </c>
    </row>
    <row r="52" spans="2:32" x14ac:dyDescent="0.25">
      <c r="B52" s="37">
        <v>48</v>
      </c>
      <c r="D52" s="9">
        <v>6.6649423480154981</v>
      </c>
      <c r="E52" s="9">
        <v>7.1910007437815704</v>
      </c>
      <c r="F52" s="9">
        <v>282.70030486457011</v>
      </c>
      <c r="G52" s="9">
        <v>305.01360647983705</v>
      </c>
      <c r="H52" s="9">
        <v>2502.1388520172909</v>
      </c>
      <c r="I52" s="24"/>
      <c r="J52" s="9">
        <v>6.8974586262769417</v>
      </c>
      <c r="K52" s="9">
        <v>7.1541145635326586</v>
      </c>
      <c r="L52" s="22">
        <v>292.5627191688825</v>
      </c>
      <c r="M52" s="22">
        <v>303.44904164834054</v>
      </c>
      <c r="N52" s="22">
        <v>920.58206975748362</v>
      </c>
    </row>
    <row r="53" spans="2:32" x14ac:dyDescent="0.25">
      <c r="B53" s="37">
        <v>49</v>
      </c>
      <c r="D53" s="9">
        <v>6.7843906048402047</v>
      </c>
      <c r="E53" s="9">
        <v>7.3212118641720467</v>
      </c>
      <c r="F53" s="9">
        <v>281.89403177299153</v>
      </c>
      <c r="G53" s="9">
        <v>304.19916099514251</v>
      </c>
      <c r="H53" s="9">
        <v>2553.3312278136214</v>
      </c>
      <c r="I53" s="24"/>
      <c r="J53" s="9">
        <v>7.0469925140038274</v>
      </c>
      <c r="K53" s="9">
        <v>7.3089955207716768</v>
      </c>
      <c r="L53" s="22">
        <v>292.80524181927126</v>
      </c>
      <c r="M53" s="22">
        <v>303.69156724129863</v>
      </c>
      <c r="N53" s="22">
        <v>939.76111591212009</v>
      </c>
    </row>
    <row r="54" spans="2:32" x14ac:dyDescent="0.25">
      <c r="B54" s="37">
        <v>50</v>
      </c>
      <c r="D54" s="9">
        <v>6.9054482296595641</v>
      </c>
      <c r="E54" s="9">
        <v>7.4534506583245985</v>
      </c>
      <c r="F54" s="9">
        <v>281.18554206537539</v>
      </c>
      <c r="G54" s="9">
        <v>303.49985893991033</v>
      </c>
      <c r="H54" s="9">
        <v>2606.5132289464445</v>
      </c>
      <c r="I54" s="24"/>
      <c r="J54" s="9">
        <v>7.1859782609552028</v>
      </c>
      <c r="K54" s="9">
        <v>7.4533287806256379</v>
      </c>
      <c r="L54" s="22">
        <v>292.60854985459883</v>
      </c>
      <c r="M54" s="22">
        <v>303.49489615607524</v>
      </c>
      <c r="N54" s="22">
        <v>958.94174628394455</v>
      </c>
      <c r="AD54" s="26"/>
    </row>
    <row r="55" spans="2:32" x14ac:dyDescent="0.25">
      <c r="B55" s="37">
        <v>51</v>
      </c>
      <c r="D55" s="9">
        <v>7.0257270488207517</v>
      </c>
      <c r="E55" s="9">
        <v>7.5847089026205214</v>
      </c>
      <c r="F55" s="9">
        <v>280.4737456008711</v>
      </c>
      <c r="G55" s="9">
        <v>302.78883600627694</v>
      </c>
      <c r="H55" s="9">
        <v>2658.7356560068997</v>
      </c>
      <c r="I55" s="24"/>
      <c r="J55" s="9">
        <v>7.3324872521163051</v>
      </c>
      <c r="K55" s="9">
        <v>7.6051863192670357</v>
      </c>
      <c r="L55" s="22">
        <v>292.71990640696589</v>
      </c>
      <c r="M55" s="22">
        <v>303.60631407042138</v>
      </c>
      <c r="N55" s="22">
        <v>978.12607316253434</v>
      </c>
    </row>
    <row r="56" spans="2:32" x14ac:dyDescent="0.25">
      <c r="B56" s="37">
        <v>52</v>
      </c>
      <c r="D56" s="9">
        <v>5.9930036348499236</v>
      </c>
      <c r="E56" s="9">
        <v>6.3638560379377891</v>
      </c>
      <c r="F56" s="9">
        <v>391.07590968273627</v>
      </c>
      <c r="G56" s="9">
        <v>415.2760353179425</v>
      </c>
      <c r="H56" s="9">
        <v>1763.918632605104</v>
      </c>
      <c r="I56" s="24"/>
      <c r="J56" s="9">
        <v>5.9237925840433556</v>
      </c>
      <c r="K56" s="9">
        <v>6.0907673829917854</v>
      </c>
      <c r="L56" s="22">
        <v>386.55951418167552</v>
      </c>
      <c r="M56" s="22">
        <v>397.45552315672836</v>
      </c>
      <c r="N56" s="22">
        <v>598.90871485266075</v>
      </c>
    </row>
    <row r="57" spans="2:32" x14ac:dyDescent="0.25">
      <c r="B57" s="37">
        <v>53</v>
      </c>
      <c r="D57" s="9">
        <v>6.0920882342708529</v>
      </c>
      <c r="E57" s="9">
        <v>6.470336409031118</v>
      </c>
      <c r="F57" s="9">
        <v>390.04092875708983</v>
      </c>
      <c r="G57" s="9">
        <v>414.25795643476357</v>
      </c>
      <c r="H57" s="9">
        <v>1799.0958064532888</v>
      </c>
      <c r="I57" s="24"/>
      <c r="J57" s="9">
        <v>6.0341709890702786</v>
      </c>
      <c r="K57" s="9">
        <v>6.2043572615497</v>
      </c>
      <c r="L57" s="22">
        <v>386.33282486227029</v>
      </c>
      <c r="M57" s="22">
        <v>397.22886070859374</v>
      </c>
      <c r="N57" s="22">
        <v>610.42768972848762</v>
      </c>
      <c r="P57" s="28"/>
    </row>
    <row r="58" spans="2:32" x14ac:dyDescent="0.25">
      <c r="B58" s="37">
        <v>54</v>
      </c>
      <c r="D58" s="9">
        <v>6.1901091518831208</v>
      </c>
      <c r="E58" s="9">
        <v>6.575477267264783</v>
      </c>
      <c r="F58" s="9">
        <v>388.97744024322503</v>
      </c>
      <c r="G58" s="9">
        <v>413.19341114042857</v>
      </c>
      <c r="H58" s="9">
        <v>1832.9610202703291</v>
      </c>
      <c r="I58" s="24"/>
      <c r="J58" s="9">
        <v>6.1503041459557366</v>
      </c>
      <c r="K58" s="9">
        <v>6.3237023353565984</v>
      </c>
      <c r="L58" s="22">
        <v>386.47615166581926</v>
      </c>
      <c r="M58" s="22">
        <v>397.37224125019088</v>
      </c>
      <c r="N58" s="22">
        <v>621.94824882150215</v>
      </c>
    </row>
    <row r="59" spans="2:32" x14ac:dyDescent="0.25">
      <c r="B59" s="37">
        <v>55</v>
      </c>
      <c r="D59" s="9">
        <v>6.2885460258873858</v>
      </c>
      <c r="E59" s="9">
        <v>6.6811423626749384</v>
      </c>
      <c r="F59" s="9">
        <v>387.97828689452274</v>
      </c>
      <c r="G59" s="9">
        <v>412.1999199335217</v>
      </c>
      <c r="H59" s="9">
        <v>1867.3412597194288</v>
      </c>
      <c r="I59" s="24"/>
      <c r="J59" s="9">
        <v>6.2619260663416405</v>
      </c>
      <c r="K59" s="9">
        <v>6.4385357292734984</v>
      </c>
      <c r="L59" s="22">
        <v>386.33594123000125</v>
      </c>
      <c r="M59" s="22">
        <v>397.23205524288267</v>
      </c>
      <c r="N59" s="22">
        <v>633.46722369732868</v>
      </c>
    </row>
    <row r="60" spans="2:32" x14ac:dyDescent="0.25">
      <c r="B60" s="37">
        <v>56</v>
      </c>
      <c r="D60" s="9">
        <v>6.3870564220618968</v>
      </c>
      <c r="E60" s="9">
        <v>6.7869003568167665</v>
      </c>
      <c r="F60" s="9">
        <v>387.01927261911538</v>
      </c>
      <c r="G60" s="9">
        <v>411.24753968991712</v>
      </c>
      <c r="H60" s="9">
        <v>1901.8136616500565</v>
      </c>
      <c r="I60" s="24"/>
      <c r="J60" s="9">
        <v>6.375923277101923</v>
      </c>
      <c r="K60" s="9">
        <v>6.5557446598927998</v>
      </c>
      <c r="L60" s="22">
        <v>386.34466738946855</v>
      </c>
      <c r="M60" s="22">
        <v>397.24081988448938</v>
      </c>
      <c r="N60" s="22">
        <v>644.98707869381599</v>
      </c>
      <c r="AE60" s="26"/>
      <c r="AF60" s="26"/>
    </row>
    <row r="61" spans="2:32" x14ac:dyDescent="0.25">
      <c r="B61" s="37">
        <v>57</v>
      </c>
      <c r="D61" s="9">
        <v>6.4850739978421217</v>
      </c>
      <c r="E61" s="9">
        <v>6.8920378732183973</v>
      </c>
      <c r="F61" s="9">
        <v>386.06456975267736</v>
      </c>
      <c r="G61" s="9">
        <v>410.29163848069851</v>
      </c>
      <c r="H61" s="9">
        <v>1935.6788754670963</v>
      </c>
      <c r="I61" s="24"/>
      <c r="J61" s="9">
        <v>6.4879541661988016</v>
      </c>
      <c r="K61" s="9">
        <v>6.6709862342709823</v>
      </c>
      <c r="L61" s="22">
        <v>386.23602977885542</v>
      </c>
      <c r="M61" s="22">
        <v>397.1321578160593</v>
      </c>
      <c r="N61" s="22">
        <v>656.50323718353457</v>
      </c>
    </row>
    <row r="62" spans="2:32" x14ac:dyDescent="0.25">
      <c r="B62" s="37">
        <v>58</v>
      </c>
      <c r="D62" s="9">
        <v>6.5844383764056937</v>
      </c>
      <c r="E62" s="9">
        <v>6.9988721103069054</v>
      </c>
      <c r="F62" s="9">
        <v>385.22158217009309</v>
      </c>
      <c r="G62" s="9">
        <v>409.46796577209642</v>
      </c>
      <c r="H62" s="9">
        <v>1971.2084352740599</v>
      </c>
      <c r="I62" s="24"/>
      <c r="J62" s="9">
        <v>6.5976024384110952</v>
      </c>
      <c r="K62" s="9">
        <v>6.7838474579824295</v>
      </c>
      <c r="L62" s="22">
        <v>385.99174364835636</v>
      </c>
      <c r="M62" s="22">
        <v>396.88798065585246</v>
      </c>
      <c r="N62" s="22">
        <v>668.02749278331601</v>
      </c>
    </row>
    <row r="63" spans="2:32" x14ac:dyDescent="0.25">
      <c r="B63" s="37">
        <v>59</v>
      </c>
      <c r="D63" s="9">
        <v>6.6819050490622383</v>
      </c>
      <c r="E63" s="9">
        <v>7.1033162488684285</v>
      </c>
      <c r="F63" s="9">
        <v>384.29802721723917</v>
      </c>
      <c r="G63" s="9">
        <v>408.53475185544647</v>
      </c>
      <c r="H63" s="9">
        <v>2004.3959837857549</v>
      </c>
      <c r="I63" s="24"/>
      <c r="J63" s="9">
        <v>6.7185399385797346</v>
      </c>
      <c r="K63" s="9">
        <v>6.9079971706661389</v>
      </c>
      <c r="L63" s="22">
        <v>386.40501851171604</v>
      </c>
      <c r="M63" s="22">
        <v>397.30131829422521</v>
      </c>
      <c r="N63" s="22">
        <v>679.54910802112113</v>
      </c>
    </row>
    <row r="64" spans="2:32" x14ac:dyDescent="0.25">
      <c r="B64" s="37">
        <v>60</v>
      </c>
      <c r="D64" s="9">
        <v>6.7809819889902592</v>
      </c>
      <c r="E64" s="9">
        <v>7.2097889604688516</v>
      </c>
      <c r="F64" s="9">
        <v>383.49632559377238</v>
      </c>
      <c r="G64" s="9">
        <v>407.74737038610942</v>
      </c>
      <c r="H64" s="9">
        <v>2039.5731576339394</v>
      </c>
      <c r="I64" s="24"/>
      <c r="J64" s="9">
        <v>6.8265676349574393</v>
      </c>
      <c r="K64" s="9">
        <v>7.0192360449812057</v>
      </c>
      <c r="L64" s="22">
        <v>386.07440761148251</v>
      </c>
      <c r="M64" s="22">
        <v>396.97070956628409</v>
      </c>
      <c r="N64" s="22">
        <v>691.06702675215888</v>
      </c>
    </row>
    <row r="65" spans="2:29" x14ac:dyDescent="0.25">
      <c r="B65" s="37">
        <v>61</v>
      </c>
      <c r="D65" s="9">
        <v>6.8799613415409162</v>
      </c>
      <c r="E65" s="9">
        <v>7.3161390091418133</v>
      </c>
      <c r="F65" s="9">
        <v>382.71548072148516</v>
      </c>
      <c r="G65" s="9">
        <v>406.97898126296718</v>
      </c>
      <c r="H65" s="9">
        <v>2074.6310623883846</v>
      </c>
      <c r="I65" s="24"/>
      <c r="J65" s="9">
        <v>6.9398707847099725</v>
      </c>
      <c r="K65" s="9">
        <v>7.1357518999048626</v>
      </c>
      <c r="L65" s="22">
        <v>386.04809702613824</v>
      </c>
      <c r="M65" s="22">
        <v>396.94448603830131</v>
      </c>
      <c r="N65" s="22">
        <v>702.59040223128181</v>
      </c>
    </row>
    <row r="66" spans="2:29" x14ac:dyDescent="0.25">
      <c r="B66" s="37">
        <v>62</v>
      </c>
      <c r="D66" s="9">
        <v>6.9779738390823276</v>
      </c>
      <c r="E66" s="9">
        <v>7.4212714473046315</v>
      </c>
      <c r="F66" s="9">
        <v>381.90690808628739</v>
      </c>
      <c r="G66" s="9">
        <v>406.1687386437506</v>
      </c>
      <c r="H66" s="9">
        <v>2108.496276205422</v>
      </c>
      <c r="I66" s="24"/>
      <c r="J66" s="9">
        <v>7.0583287322269213</v>
      </c>
      <c r="K66" s="9">
        <v>7.2574223062649157</v>
      </c>
      <c r="L66" s="22">
        <v>386.30475902384427</v>
      </c>
      <c r="M66" s="22">
        <v>397.20121880344959</v>
      </c>
      <c r="N66" s="22">
        <v>714.11289758974385</v>
      </c>
    </row>
    <row r="67" spans="2:29" x14ac:dyDescent="0.25">
      <c r="B67" s="37">
        <v>63</v>
      </c>
      <c r="D67" s="9">
        <v>7.0759283144874212</v>
      </c>
      <c r="E67" s="9">
        <v>7.526331045960621</v>
      </c>
      <c r="F67" s="9">
        <v>381.12087925805622</v>
      </c>
      <c r="G67" s="9">
        <v>405.38029475945973</v>
      </c>
      <c r="H67" s="9">
        <v>2142.2910128307049</v>
      </c>
      <c r="I67" s="24"/>
      <c r="J67" s="9">
        <v>7.1746827938323872</v>
      </c>
      <c r="K67" s="9">
        <v>7.376988087729397</v>
      </c>
      <c r="L67" s="22">
        <v>386.43995434274376</v>
      </c>
      <c r="M67" s="22">
        <v>397.33644284033437</v>
      </c>
      <c r="N67" s="22">
        <v>725.63275258623116</v>
      </c>
    </row>
    <row r="68" spans="2:29" x14ac:dyDescent="0.25">
      <c r="B68" s="37">
        <v>64</v>
      </c>
      <c r="D68" s="9">
        <v>7.1742243072361251</v>
      </c>
      <c r="E68" s="9">
        <v>7.6318210661832637</v>
      </c>
      <c r="F68" s="9">
        <v>380.37752108732587</v>
      </c>
      <c r="G68" s="9">
        <v>404.63931070691524</v>
      </c>
      <c r="H68" s="9">
        <v>2176.5086126065244</v>
      </c>
      <c r="I68" s="24"/>
      <c r="J68" s="9">
        <v>7.281988318069426</v>
      </c>
      <c r="K68" s="9">
        <v>7.4875042972477432</v>
      </c>
      <c r="L68" s="22">
        <v>386.09117116958691</v>
      </c>
      <c r="M68" s="22">
        <v>396.98763263439429</v>
      </c>
      <c r="N68" s="22">
        <v>737.14891107594974</v>
      </c>
    </row>
    <row r="69" spans="2:29" x14ac:dyDescent="0.25">
      <c r="B69" s="37">
        <v>65</v>
      </c>
      <c r="D69" s="9">
        <v>7.2732964714611281</v>
      </c>
      <c r="E69" s="9">
        <v>7.7382890020806636</v>
      </c>
      <c r="F69" s="9">
        <v>379.69755498606543</v>
      </c>
      <c r="G69" s="9">
        <v>403.97217759436842</v>
      </c>
      <c r="H69" s="9">
        <v>2211.6857864547082</v>
      </c>
      <c r="I69" s="24"/>
      <c r="J69" s="9">
        <v>7.4004178627387383</v>
      </c>
      <c r="K69" s="9">
        <v>7.609148025056343</v>
      </c>
      <c r="L69" s="22">
        <v>386.33384179823202</v>
      </c>
      <c r="M69" s="22">
        <v>397.23045966535955</v>
      </c>
      <c r="N69" s="22">
        <v>748.67756727902713</v>
      </c>
    </row>
    <row r="70" spans="2:29" x14ac:dyDescent="0.25">
      <c r="B70" s="37">
        <v>66</v>
      </c>
      <c r="D70" s="9">
        <v>7.3719857814645113</v>
      </c>
      <c r="E70" s="9">
        <v>7.8442749213538203</v>
      </c>
      <c r="F70" s="9">
        <v>379.01851009878658</v>
      </c>
      <c r="G70" s="9">
        <v>403.30047854570921</v>
      </c>
      <c r="H70" s="9">
        <v>2246.3913052503731</v>
      </c>
      <c r="I70" s="24"/>
      <c r="J70" s="9">
        <v>7.5144647076203208</v>
      </c>
      <c r="K70" s="9">
        <v>7.7264063434689181</v>
      </c>
      <c r="L70" s="22">
        <v>386.34382947851577</v>
      </c>
      <c r="M70" s="22">
        <v>397.24045969845042</v>
      </c>
      <c r="N70" s="22">
        <v>760.19654215485411</v>
      </c>
    </row>
    <row r="71" spans="2:29" x14ac:dyDescent="0.25">
      <c r="B71" s="37">
        <v>67</v>
      </c>
      <c r="D71" s="9">
        <v>7.4701122592055871</v>
      </c>
      <c r="E71" s="9">
        <v>7.949552114255046</v>
      </c>
      <c r="F71" s="9">
        <v>378.33123001107271</v>
      </c>
      <c r="G71" s="9">
        <v>402.6129360662481</v>
      </c>
      <c r="H71" s="9">
        <v>2280.4028947733668</v>
      </c>
      <c r="I71" s="24"/>
      <c r="J71" s="9">
        <v>7.6206459863144955</v>
      </c>
      <c r="K71" s="9">
        <v>7.8357983074443966</v>
      </c>
      <c r="L71" s="22">
        <v>385.95515963342632</v>
      </c>
      <c r="M71" s="22">
        <v>396.85176191574186</v>
      </c>
      <c r="N71" s="22">
        <v>771.71270064457428</v>
      </c>
    </row>
    <row r="72" spans="2:29" x14ac:dyDescent="0.25">
      <c r="B72" s="37">
        <v>68</v>
      </c>
      <c r="D72" s="9">
        <v>7.5687998306725026</v>
      </c>
      <c r="E72" s="9">
        <v>8.0555362949917324</v>
      </c>
      <c r="F72" s="9">
        <v>377.69216329153272</v>
      </c>
      <c r="G72" s="9">
        <v>401.98089496291419</v>
      </c>
      <c r="H72" s="9">
        <v>2315.1084135690307</v>
      </c>
      <c r="I72" s="24"/>
      <c r="J72" s="9">
        <v>7.7425554313126685</v>
      </c>
      <c r="K72" s="9">
        <v>7.9609219355818599</v>
      </c>
      <c r="L72" s="22">
        <v>386.3627755626955</v>
      </c>
      <c r="M72" s="22">
        <v>397.25952527638333</v>
      </c>
      <c r="N72" s="22">
        <v>783.24135684764997</v>
      </c>
    </row>
    <row r="73" spans="2:29" x14ac:dyDescent="0.25">
      <c r="B73" s="37">
        <v>69</v>
      </c>
      <c r="D73" s="9">
        <v>7.6671880213341277</v>
      </c>
      <c r="E73" s="9">
        <v>8.1611435886773833</v>
      </c>
      <c r="F73" s="9">
        <v>377.0568972987171</v>
      </c>
      <c r="G73" s="9">
        <v>401.34863934386226</v>
      </c>
      <c r="H73" s="9">
        <v>2349.4452824385912</v>
      </c>
      <c r="I73" s="24"/>
      <c r="J73" s="9">
        <v>7.853482044305875</v>
      </c>
      <c r="K73" s="9">
        <v>8.0750595294500069</v>
      </c>
      <c r="L73" s="22">
        <v>386.21846293289343</v>
      </c>
      <c r="M73" s="22">
        <v>397.11519832365553</v>
      </c>
      <c r="N73" s="22">
        <v>794.75857148215937</v>
      </c>
    </row>
    <row r="74" spans="2:29" x14ac:dyDescent="0.25">
      <c r="B74" s="37">
        <v>70</v>
      </c>
      <c r="D74" s="9">
        <v>7.7655885552115773</v>
      </c>
      <c r="E74" s="9">
        <v>8.2667666449720638</v>
      </c>
      <c r="F74" s="9">
        <v>376.44038010574963</v>
      </c>
      <c r="G74" s="9">
        <v>400.73521227059518</v>
      </c>
      <c r="H74" s="9">
        <v>2383.798415275478</v>
      </c>
      <c r="I74" s="24"/>
      <c r="J74" s="9">
        <v>7.9639439438321231</v>
      </c>
      <c r="K74" s="9">
        <v>8.1887328532416426</v>
      </c>
      <c r="L74" s="22">
        <v>386.05574632782822</v>
      </c>
      <c r="M74" s="22">
        <v>396.95248929844149</v>
      </c>
      <c r="N74" s="22">
        <v>806.27737033385608</v>
      </c>
    </row>
    <row r="75" spans="2:29" x14ac:dyDescent="0.25">
      <c r="B75" s="37">
        <v>71</v>
      </c>
      <c r="D75" s="9">
        <v>7.8646555846291664</v>
      </c>
      <c r="E75" s="9">
        <v>8.3732294460620587</v>
      </c>
      <c r="F75" s="9">
        <v>375.87308321213737</v>
      </c>
      <c r="G75" s="9">
        <v>400.17919849981627</v>
      </c>
      <c r="H75" s="9">
        <v>2418.9755891236609</v>
      </c>
      <c r="I75" s="24"/>
      <c r="J75" s="9">
        <v>8.0784007309111363</v>
      </c>
      <c r="K75" s="9">
        <v>8.3064025918198094</v>
      </c>
      <c r="L75" s="22">
        <v>386.08853973024014</v>
      </c>
      <c r="M75" s="22">
        <v>396.98536305780476</v>
      </c>
      <c r="N75" s="22">
        <v>817.80162593363752</v>
      </c>
      <c r="O75" s="28"/>
    </row>
    <row r="76" spans="2:29" x14ac:dyDescent="0.25">
      <c r="B76" s="37">
        <v>72</v>
      </c>
      <c r="D76" s="9">
        <v>7.9623959808729037</v>
      </c>
      <c r="E76" s="9">
        <v>8.4780213950633083</v>
      </c>
      <c r="F76" s="9">
        <v>375.25902179374424</v>
      </c>
      <c r="G76" s="9">
        <v>399.55988412285853</v>
      </c>
      <c r="H76" s="9">
        <v>2452.5155235941365</v>
      </c>
      <c r="I76" s="24"/>
      <c r="J76" s="9">
        <v>8.1943805334059814</v>
      </c>
      <c r="K76" s="9">
        <v>8.4255946068297245</v>
      </c>
      <c r="L76" s="22">
        <v>386.19220025710405</v>
      </c>
      <c r="M76" s="22">
        <v>397.08906688196998</v>
      </c>
      <c r="N76" s="22">
        <v>829.32324117144265</v>
      </c>
    </row>
    <row r="77" spans="2:29" x14ac:dyDescent="0.25">
      <c r="B77" s="37">
        <v>73</v>
      </c>
      <c r="D77" s="9">
        <v>8.0614614231114068</v>
      </c>
      <c r="E77" s="9">
        <v>8.5844826089742128</v>
      </c>
      <c r="F77" s="9">
        <v>374.72337649402368</v>
      </c>
      <c r="G77" s="9">
        <v>399.03513021432803</v>
      </c>
      <c r="H77" s="9">
        <v>2487.6926974423186</v>
      </c>
      <c r="I77" s="24"/>
      <c r="J77" s="9">
        <v>8.3049512203766032</v>
      </c>
      <c r="K77" s="9">
        <v>8.5393767673313352</v>
      </c>
      <c r="L77" s="22">
        <v>386.04158719853433</v>
      </c>
      <c r="M77" s="22">
        <v>396.93846158405131</v>
      </c>
      <c r="N77" s="22">
        <v>840.84221604726952</v>
      </c>
    </row>
    <row r="78" spans="2:29" x14ac:dyDescent="0.25">
      <c r="B78" s="37">
        <v>74</v>
      </c>
      <c r="D78" s="9">
        <v>8.1601441485671025</v>
      </c>
      <c r="E78" s="9">
        <v>8.6904619436996828</v>
      </c>
      <c r="F78" s="9">
        <v>374.18465855765828</v>
      </c>
      <c r="G78" s="9">
        <v>398.5024622000829</v>
      </c>
      <c r="H78" s="9">
        <v>2522.398216237988</v>
      </c>
      <c r="I78" s="24"/>
      <c r="J78" s="9">
        <v>8.4213129380656184</v>
      </c>
      <c r="K78" s="9">
        <v>8.6589518799099547</v>
      </c>
      <c r="L78" s="22">
        <v>386.16059336287611</v>
      </c>
      <c r="M78" s="22">
        <v>397.05756340349001</v>
      </c>
      <c r="N78" s="22">
        <v>852.36805586423702</v>
      </c>
    </row>
    <row r="79" spans="2:29" x14ac:dyDescent="0.25">
      <c r="B79" s="37">
        <v>75</v>
      </c>
      <c r="D79" s="9">
        <v>8.2584310051254999</v>
      </c>
      <c r="E79" s="9">
        <v>8.7959428277320146</v>
      </c>
      <c r="F79" s="9">
        <v>373.64239583912138</v>
      </c>
      <c r="G79" s="9">
        <v>397.96144688718414</v>
      </c>
      <c r="H79" s="9">
        <v>2556.6158160138016</v>
      </c>
      <c r="I79" s="24"/>
      <c r="J79" s="9">
        <v>8.5341986154440832</v>
      </c>
      <c r="K79" s="9">
        <v>8.7750490308194102</v>
      </c>
      <c r="L79" s="22">
        <v>386.11915692731293</v>
      </c>
      <c r="M79" s="22">
        <v>397.01613314275056</v>
      </c>
      <c r="N79" s="22">
        <v>863.88703074006537</v>
      </c>
      <c r="R79" s="29"/>
      <c r="S79" s="29"/>
      <c r="T79" s="29"/>
      <c r="U79" s="29"/>
      <c r="V79" s="29"/>
      <c r="W79" s="29"/>
      <c r="X79" s="29"/>
      <c r="Y79" s="29"/>
      <c r="Z79" s="29"/>
      <c r="AA79" s="29"/>
      <c r="AB79" s="29"/>
      <c r="AC79" s="29"/>
    </row>
    <row r="80" spans="2:29" x14ac:dyDescent="0.25">
      <c r="B80" s="37">
        <v>76</v>
      </c>
      <c r="D80" s="9">
        <v>8.3569454031171357</v>
      </c>
      <c r="E80" s="9">
        <v>8.9017105226796289</v>
      </c>
      <c r="F80" s="9">
        <v>373.12456256180423</v>
      </c>
      <c r="G80" s="9">
        <v>397.4474744788626</v>
      </c>
      <c r="H80" s="9">
        <v>2591.1153245566452</v>
      </c>
      <c r="I80" s="24"/>
      <c r="J80" s="9">
        <v>8.6470860496287401</v>
      </c>
      <c r="K80" s="9">
        <v>8.8911479385350614</v>
      </c>
      <c r="L80" s="22">
        <v>386.07888936291761</v>
      </c>
      <c r="M80" s="22">
        <v>396.9758715906836</v>
      </c>
      <c r="N80" s="22">
        <v>875.40600561589349</v>
      </c>
      <c r="V80" s="29"/>
      <c r="W80" s="29"/>
      <c r="X80" s="29"/>
      <c r="Y80" s="29"/>
      <c r="Z80" s="29"/>
      <c r="AA80" s="29"/>
      <c r="AB80" s="29"/>
      <c r="AC80" s="29"/>
    </row>
    <row r="81" spans="2:29" x14ac:dyDescent="0.25">
      <c r="B81" s="37">
        <v>77</v>
      </c>
      <c r="D81" s="9">
        <v>8.4543747213276319</v>
      </c>
      <c r="E81" s="9">
        <v>9.006111607806444</v>
      </c>
      <c r="F81" s="9">
        <v>372.5723615649967</v>
      </c>
      <c r="G81" s="9">
        <v>396.88662743723955</v>
      </c>
      <c r="H81" s="9">
        <v>2624.2757664561268</v>
      </c>
      <c r="I81" s="24"/>
      <c r="J81" s="9">
        <v>8.7663944183249747</v>
      </c>
      <c r="K81" s="9">
        <v>9.013668716808791</v>
      </c>
      <c r="L81" s="22">
        <v>386.32262923078088</v>
      </c>
      <c r="M81" s="22">
        <v>397.21965856495922</v>
      </c>
      <c r="N81" s="22">
        <v>886.92832495022435</v>
      </c>
      <c r="V81" s="29"/>
      <c r="W81" s="29"/>
      <c r="X81" s="29"/>
      <c r="Y81" s="29"/>
      <c r="Z81" s="29"/>
      <c r="AA81" s="29"/>
      <c r="AB81" s="29"/>
      <c r="AC81" s="29"/>
    </row>
    <row r="82" spans="2:29" x14ac:dyDescent="0.25">
      <c r="B82" s="37">
        <v>78</v>
      </c>
      <c r="D82" s="9">
        <v>6.804703472667045</v>
      </c>
      <c r="E82" s="9">
        <v>7.0604380972720859</v>
      </c>
      <c r="F82" s="9">
        <v>888.08743089012978</v>
      </c>
      <c r="G82" s="9">
        <v>921.4635664803742</v>
      </c>
      <c r="H82" s="9">
        <v>1216.3735911837398</v>
      </c>
      <c r="I82" s="24"/>
      <c r="J82" s="9">
        <v>6.575986692402747</v>
      </c>
      <c r="K82" s="9">
        <v>6.6576834470163817</v>
      </c>
      <c r="L82" s="22">
        <v>858.23741632266604</v>
      </c>
      <c r="M82" s="22">
        <v>868.89972676842115</v>
      </c>
      <c r="N82" s="22">
        <v>293.02394403518747</v>
      </c>
      <c r="V82" s="29"/>
      <c r="W82" s="29"/>
      <c r="X82" s="29"/>
      <c r="Y82" s="29"/>
      <c r="Z82" s="29"/>
      <c r="AA82" s="29"/>
      <c r="AB82" s="29"/>
      <c r="AC82" s="29"/>
    </row>
    <row r="83" spans="2:29" x14ac:dyDescent="0.25">
      <c r="B83" s="37">
        <v>79</v>
      </c>
      <c r="D83" s="9">
        <v>6.8807270132518035</v>
      </c>
      <c r="E83" s="9">
        <v>7.1397961808174584</v>
      </c>
      <c r="F83" s="9">
        <v>886.64211886810574</v>
      </c>
      <c r="G83" s="9">
        <v>920.02545688186785</v>
      </c>
      <c r="H83" s="9">
        <v>1232.2339777161408</v>
      </c>
      <c r="I83" s="24"/>
      <c r="J83" s="9">
        <v>6.6588862157050723</v>
      </c>
      <c r="K83" s="9">
        <v>6.7416244994500127</v>
      </c>
      <c r="L83" s="22">
        <v>858.05598336099933</v>
      </c>
      <c r="M83" s="22">
        <v>868.71753802954515</v>
      </c>
      <c r="N83" s="22">
        <v>296.75962454447216</v>
      </c>
      <c r="V83" s="29"/>
      <c r="W83" s="29"/>
      <c r="X83" s="29"/>
      <c r="Y83" s="29"/>
      <c r="Z83" s="29"/>
      <c r="AA83" s="29"/>
      <c r="AB83" s="29"/>
      <c r="AC83" s="29"/>
    </row>
    <row r="84" spans="2:29" x14ac:dyDescent="0.25">
      <c r="B84" s="37">
        <v>80</v>
      </c>
      <c r="D84" s="9">
        <v>6.9568819161501292</v>
      </c>
      <c r="E84" s="9">
        <v>7.2193198206083338</v>
      </c>
      <c r="F84" s="9">
        <v>885.24965524482707</v>
      </c>
      <c r="G84" s="9">
        <v>918.64436673266641</v>
      </c>
      <c r="H84" s="9">
        <v>1248.2570039218251</v>
      </c>
      <c r="I84" s="24"/>
      <c r="J84" s="9">
        <v>6.7422801014903522</v>
      </c>
      <c r="K84" s="9">
        <v>6.8260691798323521</v>
      </c>
      <c r="L84" s="22">
        <v>857.94199288513403</v>
      </c>
      <c r="M84" s="22">
        <v>868.60398968334687</v>
      </c>
      <c r="N84" s="22">
        <v>300.52853774866298</v>
      </c>
      <c r="V84" s="29"/>
      <c r="W84" s="29"/>
      <c r="X84" s="29"/>
      <c r="Y84" s="29"/>
      <c r="Z84" s="29"/>
      <c r="AA84" s="29"/>
      <c r="AB84" s="29"/>
      <c r="AC84" s="29"/>
    </row>
    <row r="85" spans="2:29" x14ac:dyDescent="0.25">
      <c r="B85" s="37">
        <v>81</v>
      </c>
      <c r="D85" s="9">
        <v>7.0330145080591624</v>
      </c>
      <c r="E85" s="9">
        <v>7.2988154504212686</v>
      </c>
      <c r="F85" s="9">
        <v>883.88876945928587</v>
      </c>
      <c r="G85" s="9">
        <v>917.29385736239533</v>
      </c>
      <c r="H85" s="9">
        <v>1264.2529235152954</v>
      </c>
      <c r="I85" s="24"/>
      <c r="J85" s="9">
        <v>6.828792982667248</v>
      </c>
      <c r="K85" s="9">
        <v>6.913638646522414</v>
      </c>
      <c r="L85" s="22">
        <v>858.22280324111421</v>
      </c>
      <c r="M85" s="22">
        <v>868.88595903767384</v>
      </c>
      <c r="N85" s="22">
        <v>304.31822138717001</v>
      </c>
      <c r="V85" s="29"/>
      <c r="W85" s="29"/>
      <c r="X85" s="29"/>
      <c r="Y85" s="29"/>
      <c r="Z85" s="29"/>
      <c r="AA85" s="29"/>
      <c r="AB85" s="29"/>
      <c r="AC85" s="29"/>
    </row>
    <row r="86" spans="2:29" x14ac:dyDescent="0.25">
      <c r="B86" s="37">
        <v>82</v>
      </c>
      <c r="D86" s="9">
        <v>7.1090369789647747</v>
      </c>
      <c r="E86" s="9">
        <v>7.3781724642874877</v>
      </c>
      <c r="F86" s="9">
        <v>882.54740509982435</v>
      </c>
      <c r="G86" s="9">
        <v>915.95907884616497</v>
      </c>
      <c r="H86" s="9">
        <v>1280.1133100476941</v>
      </c>
      <c r="I86" s="24"/>
      <c r="J86" s="9">
        <v>6.9108354300295769</v>
      </c>
      <c r="K86" s="9">
        <v>6.9967284139321446</v>
      </c>
      <c r="L86" s="22">
        <v>857.94178506758794</v>
      </c>
      <c r="M86" s="22">
        <v>868.60492133819582</v>
      </c>
      <c r="N86" s="22">
        <v>308.07467233077074</v>
      </c>
      <c r="V86" s="29"/>
      <c r="W86" s="29"/>
      <c r="X86" s="29"/>
      <c r="Y86" s="29"/>
      <c r="Z86" s="29"/>
      <c r="AA86" s="29"/>
      <c r="AB86" s="29"/>
      <c r="AC86" s="29"/>
    </row>
    <row r="87" spans="2:29" x14ac:dyDescent="0.25">
      <c r="B87" s="37">
        <v>83</v>
      </c>
      <c r="D87" s="9">
        <v>7.1855728301646504</v>
      </c>
      <c r="E87" s="9">
        <v>7.458176214782549</v>
      </c>
      <c r="F87" s="9">
        <v>881.30132821037978</v>
      </c>
      <c r="G87" s="9">
        <v>914.73578508901028</v>
      </c>
      <c r="H87" s="9">
        <v>1296.6079913058979</v>
      </c>
      <c r="I87" s="24"/>
      <c r="J87" s="9">
        <v>6.9937334896134784</v>
      </c>
      <c r="K87" s="9">
        <v>7.0806830590292176</v>
      </c>
      <c r="L87" s="22">
        <v>857.77247816226497</v>
      </c>
      <c r="M87" s="22">
        <v>868.43673177496635</v>
      </c>
      <c r="N87" s="22">
        <v>311.86435596927731</v>
      </c>
      <c r="V87" s="29"/>
      <c r="W87" s="29"/>
      <c r="X87" s="29"/>
      <c r="Y87" s="29"/>
      <c r="Z87" s="29"/>
      <c r="AA87" s="29"/>
      <c r="AB87" s="29"/>
      <c r="AC87" s="29"/>
    </row>
    <row r="88" spans="2:29" x14ac:dyDescent="0.25">
      <c r="B88" s="37">
        <v>84</v>
      </c>
      <c r="D88" s="9">
        <v>7.2615946175155424</v>
      </c>
      <c r="E88" s="9">
        <v>7.5375325450940487</v>
      </c>
      <c r="F88" s="9">
        <v>880.02262113053041</v>
      </c>
      <c r="G88" s="9">
        <v>913.46315741593992</v>
      </c>
      <c r="H88" s="9">
        <v>1312.4683778382994</v>
      </c>
      <c r="I88" s="24"/>
      <c r="J88" s="9">
        <v>7.0785206481095022</v>
      </c>
      <c r="K88" s="9">
        <v>7.166521012122308</v>
      </c>
      <c r="L88" s="22">
        <v>857.83613966145117</v>
      </c>
      <c r="M88" s="22">
        <v>868.50078221973899</v>
      </c>
      <c r="N88" s="22">
        <v>315.63326917346842</v>
      </c>
      <c r="V88" s="29"/>
      <c r="W88" s="29"/>
      <c r="X88" s="29"/>
      <c r="Y88" s="29"/>
      <c r="Z88" s="29"/>
      <c r="AA88" s="29"/>
      <c r="AB88" s="29"/>
      <c r="AC88" s="29"/>
    </row>
    <row r="89" spans="2:29" x14ac:dyDescent="0.25">
      <c r="B89" s="37">
        <v>85</v>
      </c>
      <c r="D89" s="9">
        <v>7.3386786431188229</v>
      </c>
      <c r="E89" s="9">
        <v>7.6182269447089404</v>
      </c>
      <c r="F89" s="9">
        <v>878.90121797806103</v>
      </c>
      <c r="G89" s="9">
        <v>912.38072494375035</v>
      </c>
      <c r="H89" s="9">
        <v>1329.6407244018453</v>
      </c>
      <c r="I89" s="24"/>
      <c r="J89" s="9">
        <v>7.1531083300694522</v>
      </c>
      <c r="K89" s="9">
        <v>7.2421502232135602</v>
      </c>
      <c r="L89" s="22">
        <v>856.67678465823008</v>
      </c>
      <c r="M89" s="22">
        <v>867.34069735166963</v>
      </c>
      <c r="N89" s="22">
        <v>319.36894968275288</v>
      </c>
      <c r="V89" s="29"/>
      <c r="W89" s="29"/>
      <c r="X89" s="29"/>
      <c r="Y89" s="29"/>
      <c r="Z89" s="29"/>
      <c r="AA89" s="29"/>
      <c r="AB89" s="29"/>
      <c r="AC89" s="29"/>
    </row>
    <row r="90" spans="2:29" x14ac:dyDescent="0.25">
      <c r="B90" s="37">
        <v>86</v>
      </c>
      <c r="D90" s="9">
        <v>7.4146997683483704</v>
      </c>
      <c r="E90" s="9">
        <v>7.6975826128990992</v>
      </c>
      <c r="F90" s="9">
        <v>877.68007815518888</v>
      </c>
      <c r="G90" s="9">
        <v>911.16499930788314</v>
      </c>
      <c r="H90" s="9">
        <v>1345.501110934247</v>
      </c>
      <c r="I90" s="24"/>
      <c r="J90" s="9">
        <v>7.2415773799866816</v>
      </c>
      <c r="K90" s="9">
        <v>7.3316758586439565</v>
      </c>
      <c r="L90" s="22">
        <v>857.18753279329542</v>
      </c>
      <c r="M90" s="22">
        <v>867.85251482360559</v>
      </c>
      <c r="N90" s="22">
        <v>323.158633321259</v>
      </c>
    </row>
    <row r="91" spans="2:29" x14ac:dyDescent="0.25">
      <c r="B91" s="37">
        <v>87</v>
      </c>
      <c r="D91" s="9">
        <v>7.4902814944890856</v>
      </c>
      <c r="E91" s="9">
        <v>7.7763849022272833</v>
      </c>
      <c r="F91" s="9">
        <v>876.4355965562379</v>
      </c>
      <c r="G91" s="9">
        <v>909.9124706927156</v>
      </c>
      <c r="H91" s="9">
        <v>1360.8193652223713</v>
      </c>
      <c r="I91" s="24"/>
      <c r="J91" s="9">
        <v>7.3244523618498256</v>
      </c>
      <c r="K91" s="9">
        <v>7.415598160554504</v>
      </c>
      <c r="L91" s="22">
        <v>857.03197936267509</v>
      </c>
      <c r="M91" s="22">
        <v>867.69692199802239</v>
      </c>
      <c r="N91" s="22">
        <v>326.91508426486052</v>
      </c>
    </row>
    <row r="92" spans="2:29" x14ac:dyDescent="0.25">
      <c r="B92" s="37">
        <v>88</v>
      </c>
      <c r="D92" s="9">
        <v>7.5666839781772657</v>
      </c>
      <c r="E92" s="9">
        <v>7.8562210912787034</v>
      </c>
      <c r="F92" s="9">
        <v>875.31434390010224</v>
      </c>
      <c r="G92" s="9">
        <v>908.80801020360298</v>
      </c>
      <c r="H92" s="9">
        <v>1377.1514068072918</v>
      </c>
      <c r="I92" s="24"/>
      <c r="J92" s="9">
        <v>7.4087649988047639</v>
      </c>
      <c r="K92" s="9">
        <v>7.5009673830226067</v>
      </c>
      <c r="L92" s="22">
        <v>857.0462692431621</v>
      </c>
      <c r="M92" s="22">
        <v>867.71224520838371</v>
      </c>
      <c r="N92" s="22">
        <v>330.7047679033675</v>
      </c>
    </row>
    <row r="93" spans="2:29" x14ac:dyDescent="0.25">
      <c r="B93" s="37">
        <v>89</v>
      </c>
      <c r="D93" s="9">
        <v>7.6433847197243274</v>
      </c>
      <c r="E93" s="9">
        <v>7.9364330444347448</v>
      </c>
      <c r="F93" s="9">
        <v>874.25240274709404</v>
      </c>
      <c r="G93" s="9">
        <v>907.77134905081141</v>
      </c>
      <c r="H93" s="9">
        <v>1393.8520983183189</v>
      </c>
      <c r="I93" s="24"/>
      <c r="J93" s="9">
        <v>7.494041577328117</v>
      </c>
      <c r="K93" s="9">
        <v>7.5873092334332748</v>
      </c>
      <c r="L93" s="22">
        <v>857.17049389894214</v>
      </c>
      <c r="M93" s="22">
        <v>867.83847352295675</v>
      </c>
      <c r="N93" s="22">
        <v>334.52560719334753</v>
      </c>
    </row>
    <row r="94" spans="2:29" x14ac:dyDescent="0.25">
      <c r="B94" s="37">
        <v>90</v>
      </c>
      <c r="D94" s="9">
        <v>7.7188557431355855</v>
      </c>
      <c r="E94" s="9">
        <v>8.0150961360901878</v>
      </c>
      <c r="F94" s="9">
        <v>873.07496763361075</v>
      </c>
      <c r="G94" s="9">
        <v>906.58253405245694</v>
      </c>
      <c r="H94" s="9">
        <v>1409.0348195453782</v>
      </c>
      <c r="I94" s="24"/>
      <c r="J94" s="9">
        <v>7.5824748112862252</v>
      </c>
      <c r="K94" s="9">
        <v>7.6767955783548949</v>
      </c>
      <c r="L94" s="22">
        <v>857.64900533782463</v>
      </c>
      <c r="M94" s="22">
        <v>868.3175685803609</v>
      </c>
      <c r="N94" s="22">
        <v>338.30282857126497</v>
      </c>
    </row>
    <row r="95" spans="2:29" x14ac:dyDescent="0.25">
      <c r="B95" s="37">
        <v>91</v>
      </c>
      <c r="D95" s="9">
        <v>7.7959378664813483</v>
      </c>
      <c r="E95" s="9">
        <v>8.0957886334475599</v>
      </c>
      <c r="F95" s="9">
        <v>872.10363819242707</v>
      </c>
      <c r="G95" s="9">
        <v>905.6468692012769</v>
      </c>
      <c r="H95" s="9">
        <v>1426.2071661089244</v>
      </c>
      <c r="I95" s="24"/>
      <c r="J95" s="9">
        <v>7.6562569491999746</v>
      </c>
      <c r="K95" s="9">
        <v>7.751616929033502</v>
      </c>
      <c r="L95" s="22">
        <v>856.47803441858355</v>
      </c>
      <c r="M95" s="22">
        <v>867.14561371117111</v>
      </c>
      <c r="N95" s="22">
        <v>342.03020090682304</v>
      </c>
    </row>
    <row r="96" spans="2:29" x14ac:dyDescent="0.25">
      <c r="B96" s="37">
        <v>92</v>
      </c>
      <c r="D96" s="9">
        <v>7.8719571320842139</v>
      </c>
      <c r="E96" s="9">
        <v>8.1751424420110297</v>
      </c>
      <c r="F96" s="9">
        <v>871.0358188914397</v>
      </c>
      <c r="G96" s="9">
        <v>904.58341833549798</v>
      </c>
      <c r="H96" s="9">
        <v>1442.0675526413261</v>
      </c>
      <c r="I96" s="24"/>
      <c r="J96" s="9">
        <v>7.7492548151455969</v>
      </c>
      <c r="K96" s="9">
        <v>7.8456858577825423</v>
      </c>
      <c r="L96" s="22">
        <v>857.45874887934622</v>
      </c>
      <c r="M96" s="22">
        <v>868.1288898341902</v>
      </c>
      <c r="N96" s="22">
        <v>345.8718106311199</v>
      </c>
    </row>
    <row r="97" spans="2:14" x14ac:dyDescent="0.25">
      <c r="B97" s="37">
        <v>93</v>
      </c>
      <c r="D97" s="9">
        <v>7.9480858724707071</v>
      </c>
      <c r="E97" s="9">
        <v>8.2546342203014227</v>
      </c>
      <c r="F97" s="9">
        <v>870.00294663150476</v>
      </c>
      <c r="G97" s="9">
        <v>903.55793964202155</v>
      </c>
      <c r="H97" s="9">
        <v>1458.0634722347959</v>
      </c>
      <c r="I97" s="24"/>
      <c r="J97" s="9">
        <v>7.8294245960297868</v>
      </c>
      <c r="K97" s="9">
        <v>7.9269029587141393</v>
      </c>
      <c r="L97" s="22">
        <v>857.01420169201845</v>
      </c>
      <c r="M97" s="22">
        <v>867.68425032120365</v>
      </c>
      <c r="N97" s="22">
        <v>349.62826157472142</v>
      </c>
    </row>
    <row r="98" spans="2:14" x14ac:dyDescent="0.25">
      <c r="B98" s="37">
        <v>94</v>
      </c>
      <c r="D98" s="9">
        <v>8.0246182687805767</v>
      </c>
      <c r="E98" s="9">
        <v>8.3346345159064814</v>
      </c>
      <c r="F98" s="9">
        <v>869.03576478473087</v>
      </c>
      <c r="G98" s="9">
        <v>902.60935014328948</v>
      </c>
      <c r="H98" s="9">
        <v>1474.5581534929966</v>
      </c>
      <c r="I98" s="24"/>
      <c r="J98" s="9">
        <v>7.9123750303973885</v>
      </c>
      <c r="K98" s="9">
        <v>8.0109099785949045</v>
      </c>
      <c r="L98" s="22">
        <v>856.88024719584598</v>
      </c>
      <c r="M98" s="22">
        <v>867.55120887859584</v>
      </c>
      <c r="N98" s="22">
        <v>353.41794521322748</v>
      </c>
    </row>
    <row r="99" spans="2:14" x14ac:dyDescent="0.25">
      <c r="B99" s="37">
        <v>95</v>
      </c>
      <c r="D99" s="9">
        <v>8.1006366665992893</v>
      </c>
      <c r="E99" s="9">
        <v>8.4139874566858062</v>
      </c>
      <c r="F99" s="9">
        <v>868.03386650904235</v>
      </c>
      <c r="G99" s="9">
        <v>901.61136283275425</v>
      </c>
      <c r="H99" s="9">
        <v>1490.418540025398</v>
      </c>
      <c r="I99" s="24"/>
      <c r="J99" s="9">
        <v>8.0016967956127907</v>
      </c>
      <c r="K99" s="9">
        <v>8.1012970156976287</v>
      </c>
      <c r="L99" s="22">
        <v>857.43184073020086</v>
      </c>
      <c r="M99" s="22">
        <v>868.10462704363601</v>
      </c>
      <c r="N99" s="22">
        <v>357.23878450320848</v>
      </c>
    </row>
    <row r="100" spans="2:14" x14ac:dyDescent="0.25">
      <c r="B100" s="37">
        <v>96</v>
      </c>
      <c r="D100" s="9">
        <v>8.1773353409709948</v>
      </c>
      <c r="E100" s="9">
        <v>8.4941973426664834</v>
      </c>
      <c r="F100" s="9">
        <v>867.12497766790409</v>
      </c>
      <c r="G100" s="9">
        <v>900.72503742910521</v>
      </c>
      <c r="H100" s="9">
        <v>1507.1192315364253</v>
      </c>
      <c r="I100" s="24"/>
      <c r="J100" s="9">
        <v>8.0833156138292956</v>
      </c>
      <c r="K100" s="9">
        <v>8.183968944877634</v>
      </c>
      <c r="L100" s="22">
        <v>857.15512191432947</v>
      </c>
      <c r="M100" s="22">
        <v>867.82840530044632</v>
      </c>
      <c r="N100" s="22">
        <v>361.01600588112598</v>
      </c>
    </row>
    <row r="101" spans="2:14" x14ac:dyDescent="0.25">
      <c r="B101" s="37">
        <v>97</v>
      </c>
      <c r="D101" s="9">
        <v>8.2531863346297758</v>
      </c>
      <c r="E101" s="9">
        <v>8.5733395669720824</v>
      </c>
      <c r="F101" s="9">
        <v>866.14586738644493</v>
      </c>
      <c r="G101" s="9">
        <v>899.74493905167242</v>
      </c>
      <c r="H101" s="9">
        <v>1522.7736078160026</v>
      </c>
      <c r="I101" s="24"/>
      <c r="J101" s="9">
        <v>8.163988584350804</v>
      </c>
      <c r="K101" s="9">
        <v>8.2656811281640081</v>
      </c>
      <c r="L101" s="22">
        <v>856.78484490957089</v>
      </c>
      <c r="M101" s="22">
        <v>867.4571565473492</v>
      </c>
      <c r="N101" s="22">
        <v>364.74337821668399</v>
      </c>
    </row>
    <row r="102" spans="2:14" x14ac:dyDescent="0.25">
      <c r="B102" s="37">
        <v>98</v>
      </c>
      <c r="D102" s="9">
        <v>8.3293136687922544</v>
      </c>
      <c r="E102" s="9">
        <v>8.6528299390384618</v>
      </c>
      <c r="F102" s="9">
        <v>865.21544408226134</v>
      </c>
      <c r="G102" s="9">
        <v>898.8210068644222</v>
      </c>
      <c r="H102" s="9">
        <v>1538.7695274094733</v>
      </c>
      <c r="I102" s="24"/>
      <c r="J102" s="9">
        <v>8.2549713271245171</v>
      </c>
      <c r="K102" s="9">
        <v>8.3577349337411366</v>
      </c>
      <c r="L102" s="22">
        <v>857.49306205681739</v>
      </c>
      <c r="M102" s="22">
        <v>868.16773023115024</v>
      </c>
      <c r="N102" s="22">
        <v>368.58498794098102</v>
      </c>
    </row>
    <row r="103" spans="2:14" x14ac:dyDescent="0.25">
      <c r="B103" s="37">
        <v>99</v>
      </c>
      <c r="D103" s="9">
        <v>8.4057129549203342</v>
      </c>
      <c r="E103" s="9">
        <v>8.7326629305297825</v>
      </c>
      <c r="F103" s="9">
        <v>864.33178113348515</v>
      </c>
      <c r="G103" s="9">
        <v>897.95097040102314</v>
      </c>
      <c r="H103" s="9">
        <v>1555.1015689943936</v>
      </c>
      <c r="I103" s="24"/>
      <c r="J103" s="9">
        <v>8.333037995986917</v>
      </c>
      <c r="K103" s="9">
        <v>8.4368489226509418</v>
      </c>
      <c r="L103" s="22">
        <v>856.85885444236419</v>
      </c>
      <c r="M103" s="22">
        <v>867.53339015704307</v>
      </c>
      <c r="N103" s="22">
        <v>372.34143888458232</v>
      </c>
    </row>
    <row r="104" spans="2:14" x14ac:dyDescent="0.25">
      <c r="B104" s="37">
        <v>100</v>
      </c>
      <c r="D104" s="9">
        <v>8.4824105389596554</v>
      </c>
      <c r="E104" s="9">
        <v>8.8128717261780753</v>
      </c>
      <c r="F104" s="9">
        <v>863.49615770561286</v>
      </c>
      <c r="G104" s="9">
        <v>897.13659094370257</v>
      </c>
      <c r="H104" s="9">
        <v>1571.8022605054205</v>
      </c>
      <c r="I104" s="24"/>
      <c r="J104" s="9">
        <v>8.4173464623986316</v>
      </c>
      <c r="K104" s="9">
        <v>8.5222139745758252</v>
      </c>
      <c r="L104" s="22">
        <v>856.87273623160354</v>
      </c>
      <c r="M104" s="22">
        <v>867.54808534577865</v>
      </c>
      <c r="N104" s="22">
        <v>376.13112252308832</v>
      </c>
    </row>
    <row r="105" spans="2:14" x14ac:dyDescent="0.25">
      <c r="B105" s="37">
        <v>101</v>
      </c>
      <c r="D105" s="9">
        <v>8.5578784780941763</v>
      </c>
      <c r="E105" s="9">
        <v>8.8915317335567821</v>
      </c>
      <c r="F105" s="9">
        <v>862.55314470929659</v>
      </c>
      <c r="G105" s="9">
        <v>896.1822346149828</v>
      </c>
      <c r="H105" s="9">
        <v>1586.9849817324771</v>
      </c>
      <c r="I105" s="24"/>
      <c r="J105" s="9">
        <v>8.5127992240628707</v>
      </c>
      <c r="K105" s="9">
        <v>8.6187377990434797</v>
      </c>
      <c r="L105" s="22">
        <v>858.00958260738298</v>
      </c>
      <c r="M105" s="22">
        <v>868.68718818795389</v>
      </c>
      <c r="N105" s="22">
        <v>379.97273224738541</v>
      </c>
    </row>
    <row r="106" spans="2:14" x14ac:dyDescent="0.25">
      <c r="B106" s="37">
        <v>102</v>
      </c>
      <c r="D106" s="9">
        <v>8.6349575251924673</v>
      </c>
      <c r="E106" s="9">
        <v>8.9722211546666877</v>
      </c>
      <c r="F106" s="9">
        <v>861.78941459221153</v>
      </c>
      <c r="G106" s="9">
        <v>895.44913149989316</v>
      </c>
      <c r="H106" s="9">
        <v>1604.1573282960233</v>
      </c>
      <c r="I106" s="24"/>
      <c r="J106" s="9">
        <v>8.5869176400280356</v>
      </c>
      <c r="K106" s="9">
        <v>8.6939035350560534</v>
      </c>
      <c r="L106" s="22">
        <v>856.99491914829673</v>
      </c>
      <c r="M106" s="22">
        <v>867.67236736698544</v>
      </c>
      <c r="N106" s="22">
        <v>383.72918319098682</v>
      </c>
    </row>
    <row r="107" spans="2:14" x14ac:dyDescent="0.25">
      <c r="B107" s="37">
        <v>103</v>
      </c>
      <c r="D107" s="9">
        <v>8.7116543288725694</v>
      </c>
      <c r="E107" s="9">
        <v>9.0524291699557562</v>
      </c>
      <c r="F107" s="9">
        <v>861.00273575550216</v>
      </c>
      <c r="G107" s="9">
        <v>894.68268440507654</v>
      </c>
      <c r="H107" s="9">
        <v>1620.8580198070499</v>
      </c>
      <c r="I107" s="24"/>
      <c r="J107" s="9">
        <v>8.6712197615267002</v>
      </c>
      <c r="K107" s="9">
        <v>8.779262242067885</v>
      </c>
      <c r="L107" s="22">
        <v>857.00644850745323</v>
      </c>
      <c r="M107" s="22">
        <v>867.68465815765296</v>
      </c>
      <c r="N107" s="22">
        <v>387.51886682949367</v>
      </c>
    </row>
    <row r="108" spans="2:14" x14ac:dyDescent="0.25">
      <c r="B108" s="37">
        <v>104</v>
      </c>
      <c r="D108" s="9">
        <v>8.7865507251740897</v>
      </c>
      <c r="E108" s="9">
        <v>9.1303694607963841</v>
      </c>
      <c r="F108" s="9">
        <v>860.05495587531379</v>
      </c>
      <c r="G108" s="9">
        <v>893.70900474428902</v>
      </c>
      <c r="H108" s="9">
        <v>1635.3359691165492</v>
      </c>
      <c r="I108" s="24"/>
      <c r="J108" s="9">
        <v>8.7625241500112594</v>
      </c>
      <c r="K108" s="9">
        <v>8.8716203206075583</v>
      </c>
      <c r="L108" s="22">
        <v>857.70315985343484</v>
      </c>
      <c r="M108" s="22">
        <v>868.38183287577783</v>
      </c>
      <c r="N108" s="22">
        <v>391.29816525084192</v>
      </c>
    </row>
    <row r="109" spans="2:14" x14ac:dyDescent="0.25">
      <c r="B109" s="37">
        <v>105</v>
      </c>
      <c r="D109" s="9">
        <v>8.8636290111660365</v>
      </c>
      <c r="E109" s="9">
        <v>9.2110581207999367</v>
      </c>
      <c r="F109" s="9">
        <v>859.33676510338478</v>
      </c>
      <c r="G109" s="9">
        <v>893.02032821274247</v>
      </c>
      <c r="H109" s="9">
        <v>1652.5083156800981</v>
      </c>
      <c r="I109" s="24"/>
      <c r="J109" s="9">
        <v>8.8402002400269666</v>
      </c>
      <c r="K109" s="9">
        <v>8.9503495215867694</v>
      </c>
      <c r="L109" s="22">
        <v>857.06532477396286</v>
      </c>
      <c r="M109" s="22">
        <v>867.74439619886357</v>
      </c>
      <c r="N109" s="22">
        <v>395.07538662875925</v>
      </c>
    </row>
    <row r="110" spans="2:14" x14ac:dyDescent="0.25">
      <c r="B110" s="37">
        <v>106</v>
      </c>
      <c r="D110" s="9">
        <v>8.9396445228579111</v>
      </c>
      <c r="E110" s="9">
        <v>9.2904081754524324</v>
      </c>
      <c r="F110" s="9">
        <v>858.53006022763054</v>
      </c>
      <c r="G110" s="9">
        <v>892.21609092131689</v>
      </c>
      <c r="H110" s="9">
        <v>1668.3687022124998</v>
      </c>
      <c r="I110" s="24"/>
      <c r="J110" s="9">
        <v>8.9293989580429987</v>
      </c>
      <c r="K110" s="9">
        <v>9.0406135114901236</v>
      </c>
      <c r="L110" s="22">
        <v>857.54611446165256</v>
      </c>
      <c r="M110" s="22">
        <v>868.22674466176989</v>
      </c>
      <c r="N110" s="22">
        <v>398.89622591874019</v>
      </c>
    </row>
    <row r="111" spans="2:14" x14ac:dyDescent="0.25">
      <c r="B111" s="37">
        <v>107</v>
      </c>
      <c r="D111" s="9">
        <v>9.0167223161477725</v>
      </c>
      <c r="E111" s="9">
        <v>9.3710963427538871</v>
      </c>
      <c r="F111" s="9">
        <v>857.83949806842293</v>
      </c>
      <c r="G111" s="9">
        <v>891.55419243888821</v>
      </c>
      <c r="H111" s="9">
        <v>1685.5410487760457</v>
      </c>
      <c r="I111" s="24"/>
      <c r="J111" s="9">
        <v>9.0097261751182831</v>
      </c>
      <c r="K111" s="9">
        <v>9.1219973140785715</v>
      </c>
      <c r="L111" s="22">
        <v>857.17389410517285</v>
      </c>
      <c r="M111" s="22">
        <v>867.85522753392718</v>
      </c>
      <c r="N111" s="22">
        <v>402.6859095572463</v>
      </c>
    </row>
    <row r="112" spans="2:14" x14ac:dyDescent="0.25">
      <c r="B112" s="37">
        <v>108</v>
      </c>
      <c r="D112" s="9">
        <v>9.0921885229538315</v>
      </c>
      <c r="E112" s="9">
        <v>9.4497546178041425</v>
      </c>
      <c r="F112" s="9">
        <v>857.00981947745811</v>
      </c>
      <c r="G112" s="9">
        <v>890.71321812843223</v>
      </c>
      <c r="H112" s="9">
        <v>1700.7237700031014</v>
      </c>
      <c r="I112" s="24"/>
      <c r="J112" s="9">
        <v>9.094500129906633</v>
      </c>
      <c r="K112" s="9">
        <v>9.2078185889143214</v>
      </c>
      <c r="L112" s="22">
        <v>857.22770649688403</v>
      </c>
      <c r="M112" s="22">
        <v>867.90885678896916</v>
      </c>
      <c r="N112" s="22">
        <v>406.44236050084777</v>
      </c>
    </row>
    <row r="113" spans="2:14" x14ac:dyDescent="0.25">
      <c r="B113" s="37">
        <v>109</v>
      </c>
      <c r="D113" s="9">
        <v>9.1688838570585247</v>
      </c>
      <c r="E113" s="9">
        <v>9.5299611635178092</v>
      </c>
      <c r="F113" s="9">
        <v>856.31015631126854</v>
      </c>
      <c r="G113" s="9">
        <v>890.03227228033199</v>
      </c>
      <c r="H113" s="9">
        <v>1717.4244615141292</v>
      </c>
      <c r="I113" s="24"/>
      <c r="J113" s="9">
        <v>9.183200173235166</v>
      </c>
      <c r="K113" s="9">
        <v>9.2975896950462751</v>
      </c>
      <c r="L113" s="22">
        <v>857.64720094332415</v>
      </c>
      <c r="M113" s="22">
        <v>868.3303888677774</v>
      </c>
      <c r="N113" s="22">
        <v>410.28397022514457</v>
      </c>
    </row>
    <row r="114" spans="2:14" x14ac:dyDescent="0.25">
      <c r="B114" s="37">
        <v>110</v>
      </c>
      <c r="D114" s="9">
        <v>9.2447096240582134</v>
      </c>
      <c r="E114" s="9">
        <v>9.6090724621756696</v>
      </c>
      <c r="F114" s="9">
        <v>855.54274104401122</v>
      </c>
      <c r="G114" s="9">
        <v>889.26234868277902</v>
      </c>
      <c r="H114" s="9">
        <v>1733.051731181492</v>
      </c>
      <c r="I114" s="24"/>
      <c r="J114" s="9">
        <v>9.2634439553881958</v>
      </c>
      <c r="K114" s="9">
        <v>9.3788726899641759</v>
      </c>
      <c r="L114" s="22">
        <v>857.27649167864115</v>
      </c>
      <c r="M114" s="22">
        <v>867.95873265648424</v>
      </c>
      <c r="N114" s="22">
        <v>414.0113425607027</v>
      </c>
    </row>
    <row r="115" spans="2:14" x14ac:dyDescent="0.25">
      <c r="B115" s="37">
        <v>111</v>
      </c>
      <c r="D115" s="9">
        <v>9.3214044920742527</v>
      </c>
      <c r="E115" s="9">
        <v>9.6892785418006753</v>
      </c>
      <c r="F115" s="9">
        <v>854.86885859904737</v>
      </c>
      <c r="G115" s="9">
        <v>888.60670028001221</v>
      </c>
      <c r="H115" s="9">
        <v>1749.7524226925193</v>
      </c>
      <c r="I115" s="24"/>
      <c r="J115" s="9">
        <v>9.3451278254987482</v>
      </c>
      <c r="K115" s="9">
        <v>9.4616096710382305</v>
      </c>
      <c r="L115" s="22">
        <v>857.04453276746335</v>
      </c>
      <c r="M115" s="22">
        <v>867.72711846884727</v>
      </c>
      <c r="N115" s="22">
        <v>417.78856393862026</v>
      </c>
    </row>
    <row r="116" spans="2:14" x14ac:dyDescent="0.25">
      <c r="B116" s="37">
        <v>112</v>
      </c>
      <c r="D116" s="9">
        <v>9.3979322895717647</v>
      </c>
      <c r="E116" s="9">
        <v>9.769274238593372</v>
      </c>
      <c r="F116" s="9">
        <v>854.19182448514994</v>
      </c>
      <c r="G116" s="9">
        <v>887.94363788080614</v>
      </c>
      <c r="H116" s="9">
        <v>1766.2471039507232</v>
      </c>
      <c r="I116" s="24"/>
      <c r="J116" s="9">
        <v>9.4325090329219616</v>
      </c>
      <c r="K116" s="9">
        <v>9.5500619412648593</v>
      </c>
      <c r="L116" s="22">
        <v>857.33455530901779</v>
      </c>
      <c r="M116" s="22">
        <v>868.01911124717617</v>
      </c>
      <c r="N116" s="22">
        <v>421.63017366291706</v>
      </c>
    </row>
    <row r="117" spans="2:14" x14ac:dyDescent="0.25">
      <c r="B117" s="37">
        <v>113</v>
      </c>
      <c r="D117" s="9">
        <v>9.4739461678727199</v>
      </c>
      <c r="E117" s="9">
        <v>9.8486226598549393</v>
      </c>
      <c r="F117" s="9">
        <v>853.4804757782789</v>
      </c>
      <c r="G117" s="9">
        <v>887.23399991422241</v>
      </c>
      <c r="H117" s="9">
        <v>1782.1074904831244</v>
      </c>
      <c r="I117" s="24"/>
      <c r="J117" s="9">
        <v>9.5172539985527074</v>
      </c>
      <c r="K117" s="9">
        <v>9.6358577014926681</v>
      </c>
      <c r="L117" s="22">
        <v>857.38195329131622</v>
      </c>
      <c r="M117" s="22">
        <v>868.06661869056995</v>
      </c>
      <c r="N117" s="22">
        <v>425.39908686710743</v>
      </c>
    </row>
    <row r="118" spans="2:14" x14ac:dyDescent="0.25">
      <c r="B118" s="37">
        <v>114</v>
      </c>
      <c r="D118" s="9">
        <v>9.5506403564505575</v>
      </c>
      <c r="E118" s="9">
        <v>9.928828060041754</v>
      </c>
      <c r="F118" s="9">
        <v>852.84235645634715</v>
      </c>
      <c r="G118" s="9">
        <v>886.61333727813974</v>
      </c>
      <c r="H118" s="9">
        <v>1798.8081819941517</v>
      </c>
      <c r="I118" s="24"/>
      <c r="J118" s="9">
        <v>9.6033256035122747</v>
      </c>
      <c r="K118" s="9">
        <v>9.7229968947059895</v>
      </c>
      <c r="L118" s="22">
        <v>857.54698447893327</v>
      </c>
      <c r="M118" s="22">
        <v>868.23325704000717</v>
      </c>
      <c r="N118" s="22">
        <v>429.22823433081504</v>
      </c>
    </row>
    <row r="119" spans="2:14" x14ac:dyDescent="0.25">
      <c r="B119" s="37">
        <v>115</v>
      </c>
      <c r="D119" s="9">
        <v>9.6264869530496195</v>
      </c>
      <c r="E119" s="9">
        <v>10.007965887287634</v>
      </c>
      <c r="F119" s="9">
        <v>852.14030569572287</v>
      </c>
      <c r="G119" s="9">
        <v>885.9089668099499</v>
      </c>
      <c r="H119" s="9">
        <v>1814.4625582737267</v>
      </c>
      <c r="I119" s="24"/>
      <c r="J119" s="9">
        <v>9.6867655160236481</v>
      </c>
      <c r="K119" s="9">
        <v>9.8074876018144401</v>
      </c>
      <c r="L119" s="22">
        <v>857.47618713721977</v>
      </c>
      <c r="M119" s="22">
        <v>868.16255232856304</v>
      </c>
      <c r="N119" s="22">
        <v>432.99714753500558</v>
      </c>
    </row>
    <row r="120" spans="2:14" x14ac:dyDescent="0.25">
      <c r="B120" s="37">
        <v>116</v>
      </c>
      <c r="D120" s="9">
        <v>9.7026099360071427</v>
      </c>
      <c r="E120" s="9">
        <v>10.087451908149053</v>
      </c>
      <c r="F120" s="9">
        <v>851.47461417238787</v>
      </c>
      <c r="G120" s="9">
        <v>885.24729718325648</v>
      </c>
      <c r="H120" s="9">
        <v>1830.4584778671972</v>
      </c>
      <c r="I120" s="24"/>
      <c r="J120" s="9">
        <v>9.7731252082532052</v>
      </c>
      <c r="K120" s="9">
        <v>9.8949038795571571</v>
      </c>
      <c r="L120" s="22">
        <v>857.66284235274134</v>
      </c>
      <c r="M120" s="22">
        <v>868.34980677229942</v>
      </c>
      <c r="N120" s="22">
        <v>436.78683117351147</v>
      </c>
    </row>
    <row r="121" spans="2:14" x14ac:dyDescent="0.25">
      <c r="B121" s="37">
        <v>117</v>
      </c>
      <c r="D121" s="9">
        <v>9.7786229419963355</v>
      </c>
      <c r="E121" s="9">
        <v>10.166799457098858</v>
      </c>
      <c r="F121" s="9">
        <v>850.81073320177904</v>
      </c>
      <c r="G121" s="9">
        <v>884.58489009330799</v>
      </c>
      <c r="H121" s="9">
        <v>1846.3188643995982</v>
      </c>
      <c r="I121" s="24"/>
      <c r="J121" s="9">
        <v>9.8570133504281117</v>
      </c>
      <c r="K121" s="9">
        <v>9.9798422372375164</v>
      </c>
      <c r="L121" s="22">
        <v>857.63126419775278</v>
      </c>
      <c r="M121" s="22">
        <v>868.31826336568804</v>
      </c>
      <c r="N121" s="22">
        <v>440.55366733427115</v>
      </c>
    </row>
    <row r="122" spans="2:14" x14ac:dyDescent="0.25">
      <c r="B122" s="37">
        <v>118</v>
      </c>
      <c r="D122" s="9">
        <v>9.8556982355890437</v>
      </c>
      <c r="E122" s="9">
        <v>10.247485124703179</v>
      </c>
      <c r="F122" s="9">
        <v>850.249747858251</v>
      </c>
      <c r="G122" s="9">
        <v>884.04914955670927</v>
      </c>
      <c r="H122" s="9">
        <v>1863.4912109631446</v>
      </c>
      <c r="I122" s="24"/>
      <c r="J122" s="9">
        <v>9.9374008340284998</v>
      </c>
      <c r="K122" s="9">
        <v>10.061286306351073</v>
      </c>
      <c r="L122" s="22">
        <v>857.29821992608095</v>
      </c>
      <c r="M122" s="22">
        <v>867.9858027931383</v>
      </c>
      <c r="N122" s="22">
        <v>444.34335097277813</v>
      </c>
    </row>
    <row r="123" spans="2:14" x14ac:dyDescent="0.25">
      <c r="B123" s="37">
        <v>119</v>
      </c>
      <c r="D123" s="9">
        <v>9.9318425331994717</v>
      </c>
      <c r="E123" s="9">
        <v>10.326998159206154</v>
      </c>
      <c r="F123" s="9">
        <v>849.6185488748182</v>
      </c>
      <c r="G123" s="9">
        <v>883.42210027278463</v>
      </c>
      <c r="H123" s="9">
        <v>1879.5142371688294</v>
      </c>
      <c r="I123" s="24"/>
      <c r="J123" s="9">
        <v>10.020843404843479</v>
      </c>
      <c r="K123" s="9">
        <v>10.145779671763119</v>
      </c>
      <c r="L123" s="22">
        <v>857.23212018970855</v>
      </c>
      <c r="M123" s="22">
        <v>867.91978156243727</v>
      </c>
      <c r="N123" s="22">
        <v>448.11226417696821</v>
      </c>
    </row>
    <row r="124" spans="2:14" x14ac:dyDescent="0.25">
      <c r="B124" s="37">
        <v>120</v>
      </c>
      <c r="D124" s="9">
        <v>10.008236880448568</v>
      </c>
      <c r="E124" s="9">
        <v>10.406826211818496</v>
      </c>
      <c r="F124" s="9">
        <v>849.01908209366093</v>
      </c>
      <c r="G124" s="9">
        <v>882.83222543693239</v>
      </c>
      <c r="H124" s="9">
        <v>1895.8462787537499</v>
      </c>
      <c r="I124" s="24"/>
      <c r="J124" s="9">
        <v>10.106904561593034</v>
      </c>
      <c r="K124" s="9">
        <v>10.232908416766437</v>
      </c>
      <c r="L124" s="22">
        <v>857.38926208422799</v>
      </c>
      <c r="M124" s="22">
        <v>868.0784252942409</v>
      </c>
      <c r="N124" s="22">
        <v>451.94141164067588</v>
      </c>
    </row>
    <row r="125" spans="2:14" x14ac:dyDescent="0.25">
      <c r="B125" s="37">
        <v>121</v>
      </c>
      <c r="D125" s="9">
        <v>10.084929573174067</v>
      </c>
      <c r="E125" s="9">
        <v>10.487030116152964</v>
      </c>
      <c r="F125" s="9">
        <v>848.45462394028129</v>
      </c>
      <c r="G125" s="9">
        <v>882.28372135776249</v>
      </c>
      <c r="H125" s="9">
        <v>1912.5469702647774</v>
      </c>
      <c r="I125" s="24"/>
      <c r="J125" s="9">
        <v>10.191186292340216</v>
      </c>
      <c r="K125" s="9">
        <v>10.318246733026774</v>
      </c>
      <c r="L125" s="22">
        <v>857.39410180644836</v>
      </c>
      <c r="M125" s="22">
        <v>868.08381635905789</v>
      </c>
      <c r="N125" s="22">
        <v>455.73109527918263</v>
      </c>
    </row>
    <row r="126" spans="2:14" x14ac:dyDescent="0.25">
      <c r="B126" s="37">
        <v>122</v>
      </c>
      <c r="D126" s="9">
        <v>10.160370780809936</v>
      </c>
      <c r="E126" s="9">
        <v>10.565657693044361</v>
      </c>
      <c r="F126" s="9">
        <v>847.79499360136356</v>
      </c>
      <c r="G126" s="9">
        <v>881.61267826829146</v>
      </c>
      <c r="H126" s="9">
        <v>1927.7025848796179</v>
      </c>
      <c r="I126" s="24"/>
      <c r="J126" s="9">
        <v>10.282288459328567</v>
      </c>
      <c r="K126" s="9">
        <v>10.410414171902447</v>
      </c>
      <c r="L126" s="22">
        <v>857.96796855566492</v>
      </c>
      <c r="M126" s="22">
        <v>868.65895021520271</v>
      </c>
      <c r="N126" s="22">
        <v>459.55193456916328</v>
      </c>
    </row>
    <row r="127" spans="2:14" x14ac:dyDescent="0.25">
      <c r="B127" s="37">
        <v>123</v>
      </c>
      <c r="D127" s="9">
        <v>10.23689623106814</v>
      </c>
      <c r="E127" s="9">
        <v>10.645651042597745</v>
      </c>
      <c r="F127" s="9">
        <v>847.23582408682068</v>
      </c>
      <c r="G127" s="9">
        <v>881.06558183553273</v>
      </c>
      <c r="H127" s="9">
        <v>1944.1972661378215</v>
      </c>
      <c r="I127" s="24"/>
      <c r="J127" s="9">
        <v>10.36012783906172</v>
      </c>
      <c r="K127" s="9">
        <v>10.489295080766906</v>
      </c>
      <c r="L127" s="22">
        <v>857.43483661906862</v>
      </c>
      <c r="M127" s="22">
        <v>868.12509976142508</v>
      </c>
      <c r="N127" s="22">
        <v>463.28761507844808</v>
      </c>
    </row>
    <row r="128" spans="2:14" x14ac:dyDescent="0.25">
      <c r="B128" s="37">
        <v>124</v>
      </c>
      <c r="D128" s="9">
        <v>10.312907799930413</v>
      </c>
      <c r="E128" s="9">
        <v>10.724997154420629</v>
      </c>
      <c r="F128" s="9">
        <v>846.64348607711474</v>
      </c>
      <c r="G128" s="9">
        <v>880.47417422340266</v>
      </c>
      <c r="H128" s="9">
        <v>1960.057652670223</v>
      </c>
      <c r="I128" s="24"/>
      <c r="J128" s="9">
        <v>10.444861126061019</v>
      </c>
      <c r="K128" s="9">
        <v>10.575079162363265</v>
      </c>
      <c r="L128" s="22">
        <v>857.47626245813126</v>
      </c>
      <c r="M128" s="22">
        <v>868.16657932548401</v>
      </c>
      <c r="N128" s="22">
        <v>467.05652828263823</v>
      </c>
    </row>
    <row r="129" spans="2:14" x14ac:dyDescent="0.25">
      <c r="B129" s="37">
        <v>125</v>
      </c>
      <c r="D129" s="9">
        <v>10.389981656726</v>
      </c>
      <c r="E129" s="9">
        <v>10.805681385227837</v>
      </c>
      <c r="F129" s="9">
        <v>846.1471368788574</v>
      </c>
      <c r="G129" s="9">
        <v>880.00120387284915</v>
      </c>
      <c r="H129" s="9">
        <v>1977.2299992337691</v>
      </c>
      <c r="I129" s="24"/>
      <c r="J129" s="9">
        <v>10.529589443874604</v>
      </c>
      <c r="K129" s="9">
        <v>10.660878542980271</v>
      </c>
      <c r="L129" s="22">
        <v>857.51662079948721</v>
      </c>
      <c r="M129" s="22">
        <v>868.20864114966253</v>
      </c>
      <c r="N129" s="22">
        <v>470.89813800693582</v>
      </c>
    </row>
    <row r="130" spans="2:14" x14ac:dyDescent="0.25">
      <c r="B130" s="37">
        <v>126</v>
      </c>
      <c r="D130" s="9">
        <v>10.466673348716155</v>
      </c>
      <c r="E130" s="9">
        <v>10.885884288826963</v>
      </c>
      <c r="F130" s="9">
        <v>845.62779022271616</v>
      </c>
      <c r="G130" s="9">
        <v>879.49685340185636</v>
      </c>
      <c r="H130" s="9">
        <v>1993.9306907447965</v>
      </c>
      <c r="I130" s="24"/>
      <c r="J130" s="9">
        <v>10.607933073684604</v>
      </c>
      <c r="K130" s="9">
        <v>10.74026949283768</v>
      </c>
      <c r="L130" s="22">
        <v>857.04050418566703</v>
      </c>
      <c r="M130" s="22">
        <v>867.73228274471887</v>
      </c>
      <c r="N130" s="22">
        <v>474.65458895053672</v>
      </c>
    </row>
    <row r="131" spans="2:14" x14ac:dyDescent="0.25">
      <c r="B131" s="37">
        <v>127</v>
      </c>
      <c r="D131" s="9">
        <v>10.542135531052608</v>
      </c>
      <c r="E131" s="9">
        <v>10.9645385394076</v>
      </c>
      <c r="F131" s="9">
        <v>845.01806936877006</v>
      </c>
      <c r="G131" s="9">
        <v>878.87631123677761</v>
      </c>
      <c r="H131" s="9">
        <v>2009.1134119718531</v>
      </c>
      <c r="I131" s="24"/>
      <c r="J131" s="9">
        <v>10.702900426140294</v>
      </c>
      <c r="K131" s="9">
        <v>10.836307908096789</v>
      </c>
      <c r="L131" s="22">
        <v>857.90438076830719</v>
      </c>
      <c r="M131" s="22">
        <v>868.59782447429711</v>
      </c>
      <c r="N131" s="22">
        <v>478.49619867483364</v>
      </c>
    </row>
    <row r="132" spans="2:14" x14ac:dyDescent="0.25">
      <c r="B132" s="37">
        <v>128</v>
      </c>
      <c r="D132" s="9">
        <v>10.618638051001788</v>
      </c>
      <c r="E132" s="9">
        <v>11.044503259663301</v>
      </c>
      <c r="F132" s="9">
        <v>844.50061348576878</v>
      </c>
      <c r="G132" s="9">
        <v>878.36968673692479</v>
      </c>
      <c r="H132" s="9">
        <v>2025.5809866178442</v>
      </c>
      <c r="I132" s="24"/>
      <c r="J132" s="9">
        <v>10.785382460874903</v>
      </c>
      <c r="K132" s="9">
        <v>10.919846528344559</v>
      </c>
      <c r="L132" s="22">
        <v>857.76180157381009</v>
      </c>
      <c r="M132" s="22">
        <v>868.45573302947389</v>
      </c>
      <c r="N132" s="22">
        <v>482.28588231334038</v>
      </c>
    </row>
    <row r="133" spans="2:14" x14ac:dyDescent="0.25">
      <c r="B133" s="37">
        <v>129</v>
      </c>
      <c r="D133" s="9">
        <v>10.694648656974239</v>
      </c>
      <c r="E133" s="9">
        <v>11.123848408596364</v>
      </c>
      <c r="F133" s="9">
        <v>843.95236151157815</v>
      </c>
      <c r="G133" s="9">
        <v>877.82202432705185</v>
      </c>
      <c r="H133" s="9">
        <v>2041.4413731502432</v>
      </c>
      <c r="I133" s="24"/>
      <c r="J133" s="9">
        <v>10.867588194888432</v>
      </c>
      <c r="K133" s="9">
        <v>11.00309958240549</v>
      </c>
      <c r="L133" s="22">
        <v>857.59962904721851</v>
      </c>
      <c r="M133" s="22">
        <v>868.29330952003613</v>
      </c>
      <c r="N133" s="22">
        <v>486.04233325694122</v>
      </c>
    </row>
    <row r="134" spans="2:14" x14ac:dyDescent="0.25">
      <c r="B134" s="37">
        <v>130</v>
      </c>
      <c r="D134" s="9">
        <v>10.771721549802868</v>
      </c>
      <c r="E134" s="9">
        <v>11.204531675436606</v>
      </c>
      <c r="F134" s="9">
        <v>843.49572814042494</v>
      </c>
      <c r="G134" s="9">
        <v>877.38757081200413</v>
      </c>
      <c r="H134" s="9">
        <v>2058.6137197137919</v>
      </c>
      <c r="I134" s="24"/>
      <c r="J134" s="9">
        <v>10.949725847108196</v>
      </c>
      <c r="K134" s="9">
        <v>11.086296715596475</v>
      </c>
      <c r="L134" s="22">
        <v>857.43462023612994</v>
      </c>
      <c r="M134" s="22">
        <v>868.12900586666069</v>
      </c>
      <c r="N134" s="22">
        <v>489.84240211260601</v>
      </c>
    </row>
    <row r="135" spans="2:14" x14ac:dyDescent="0.25">
      <c r="B135" s="37">
        <v>131</v>
      </c>
      <c r="D135" s="9">
        <v>10.84786349462926</v>
      </c>
      <c r="E135" s="9">
        <v>11.28404235715556</v>
      </c>
      <c r="F135" s="9">
        <v>842.97372348176032</v>
      </c>
      <c r="G135" s="9">
        <v>876.86863007141949</v>
      </c>
      <c r="H135" s="9">
        <v>2074.6367459194735</v>
      </c>
      <c r="I135" s="24"/>
      <c r="J135" s="9">
        <v>11.033178667234621</v>
      </c>
      <c r="K135" s="9">
        <v>11.170800330319958</v>
      </c>
      <c r="L135" s="22">
        <v>857.37433067470181</v>
      </c>
      <c r="M135" s="22">
        <v>868.06873569005211</v>
      </c>
      <c r="N135" s="22">
        <v>493.61131531679609</v>
      </c>
    </row>
    <row r="136" spans="2:14" x14ac:dyDescent="0.25">
      <c r="B136" s="37">
        <v>132</v>
      </c>
      <c r="D136" s="9">
        <v>10.924255507394692</v>
      </c>
      <c r="E136" s="9">
        <v>11.363868075284229</v>
      </c>
      <c r="F136" s="9">
        <v>842.47891323156898</v>
      </c>
      <c r="G136" s="9">
        <v>876.3818476867192</v>
      </c>
      <c r="H136" s="9">
        <v>2090.9687875043946</v>
      </c>
      <c r="I136" s="24"/>
      <c r="J136" s="9">
        <v>11.114936216530278</v>
      </c>
      <c r="K136" s="9">
        <v>11.253610990579128</v>
      </c>
      <c r="L136" s="22">
        <v>857.18421525403005</v>
      </c>
      <c r="M136" s="22">
        <v>867.87881799874117</v>
      </c>
      <c r="N136" s="22">
        <v>497.38853669471365</v>
      </c>
    </row>
    <row r="137" spans="2:14" x14ac:dyDescent="0.25">
      <c r="B137" s="37">
        <v>133</v>
      </c>
      <c r="D137" s="9">
        <v>11.000945882255694</v>
      </c>
      <c r="E137" s="9">
        <v>11.444069661754204</v>
      </c>
      <c r="F137" s="9">
        <v>842.01438042558561</v>
      </c>
      <c r="G137" s="9">
        <v>875.93115436846188</v>
      </c>
      <c r="H137" s="9">
        <v>2107.669479015422</v>
      </c>
      <c r="I137" s="24"/>
      <c r="J137" s="9">
        <v>11.200115676074097</v>
      </c>
      <c r="K137" s="9">
        <v>11.339855722010263</v>
      </c>
      <c r="L137" s="22">
        <v>857.25887233895799</v>
      </c>
      <c r="M137" s="22">
        <v>867.95460063895553</v>
      </c>
      <c r="N137" s="22">
        <v>501.20937598469442</v>
      </c>
    </row>
    <row r="138" spans="2:14" x14ac:dyDescent="0.25">
      <c r="B138" s="37">
        <v>134</v>
      </c>
      <c r="D138" s="9">
        <v>11.076406778199907</v>
      </c>
      <c r="E138" s="9">
        <v>11.522722625942604</v>
      </c>
      <c r="F138" s="9">
        <v>841.46337867986711</v>
      </c>
      <c r="G138" s="9">
        <v>875.36954055350805</v>
      </c>
      <c r="H138" s="9">
        <v>2122.8522002424806</v>
      </c>
      <c r="I138" s="24"/>
      <c r="J138" s="9">
        <v>11.290730703175329</v>
      </c>
      <c r="K138" s="9">
        <v>11.431527334624656</v>
      </c>
      <c r="L138" s="22">
        <v>857.74534968843443</v>
      </c>
      <c r="M138" s="22">
        <v>868.44152684935921</v>
      </c>
      <c r="N138" s="22">
        <v>504.99905962320128</v>
      </c>
    </row>
    <row r="139" spans="2:14" x14ac:dyDescent="0.25">
      <c r="B139" s="37">
        <v>135</v>
      </c>
      <c r="D139" s="9">
        <v>11.152908009555302</v>
      </c>
      <c r="E139" s="9">
        <v>11.602686057604531</v>
      </c>
      <c r="F139" s="9">
        <v>840.99898771676374</v>
      </c>
      <c r="G139" s="9">
        <v>874.91506438327485</v>
      </c>
      <c r="H139" s="9">
        <v>2139.3197748884695</v>
      </c>
      <c r="I139" s="24"/>
      <c r="J139" s="9">
        <v>11.374961237447067</v>
      </c>
      <c r="K139" s="9">
        <v>11.516825457150162</v>
      </c>
      <c r="L139" s="22">
        <v>857.7431892932691</v>
      </c>
      <c r="M139" s="22">
        <v>868.44063834075632</v>
      </c>
      <c r="N139" s="22">
        <v>508.82820708690832</v>
      </c>
    </row>
    <row r="140" spans="2:14" x14ac:dyDescent="0.25">
      <c r="B140" s="37">
        <v>136</v>
      </c>
      <c r="D140" s="9">
        <v>11.22891734655477</v>
      </c>
      <c r="E140" s="9">
        <v>11.682029937564606</v>
      </c>
      <c r="F140" s="9">
        <v>840.50460685758264</v>
      </c>
      <c r="G140" s="9">
        <v>874.42089712984045</v>
      </c>
      <c r="H140" s="9">
        <v>2155.1801614208707</v>
      </c>
      <c r="I140" s="24"/>
      <c r="J140" s="9">
        <v>11.457120102182415</v>
      </c>
      <c r="K140" s="9">
        <v>11.600023534650363</v>
      </c>
      <c r="L140" s="22">
        <v>857.58599248746975</v>
      </c>
      <c r="M140" s="22">
        <v>868.28257076105763</v>
      </c>
      <c r="N140" s="22">
        <v>512.55557942246685</v>
      </c>
    </row>
    <row r="141" spans="2:14" x14ac:dyDescent="0.25">
      <c r="B141" s="37">
        <v>137</v>
      </c>
      <c r="D141" s="9">
        <v>11.306274338228015</v>
      </c>
      <c r="E141" s="9">
        <v>11.763071390102002</v>
      </c>
      <c r="F141" s="9">
        <v>840.11758129783254</v>
      </c>
      <c r="G141" s="9">
        <v>874.06008285794428</v>
      </c>
      <c r="H141" s="9">
        <v>2172.7048939431952</v>
      </c>
      <c r="I141" s="24"/>
      <c r="J141" s="9">
        <v>11.532549059905378</v>
      </c>
      <c r="K141" s="9">
        <v>11.676509077886488</v>
      </c>
      <c r="L141" s="22">
        <v>856.9310218882207</v>
      </c>
      <c r="M141" s="22">
        <v>867.62803298947767</v>
      </c>
      <c r="N141" s="22">
        <v>516.34526306097382</v>
      </c>
    </row>
    <row r="142" spans="2:14" x14ac:dyDescent="0.25">
      <c r="B142" s="37">
        <v>138</v>
      </c>
      <c r="D142" s="9">
        <v>11.382415035979077</v>
      </c>
      <c r="E142" s="9">
        <v>11.842580824745616</v>
      </c>
      <c r="F142" s="9">
        <v>839.64644246830551</v>
      </c>
      <c r="G142" s="9">
        <v>873.59148543696676</v>
      </c>
      <c r="H142" s="9">
        <v>2188.7279201488773</v>
      </c>
      <c r="I142" s="24"/>
      <c r="J142" s="9">
        <v>11.617745237419328</v>
      </c>
      <c r="K142" s="9">
        <v>11.762767052738107</v>
      </c>
      <c r="L142" s="22">
        <v>857.00604197509494</v>
      </c>
      <c r="M142" s="22">
        <v>867.70386409173818</v>
      </c>
      <c r="N142" s="22">
        <v>520.153640090365</v>
      </c>
    </row>
    <row r="143" spans="2:14" x14ac:dyDescent="0.25">
      <c r="B143" s="37">
        <v>139</v>
      </c>
      <c r="D143" s="9">
        <v>11.458423853600522</v>
      </c>
      <c r="E143" s="9">
        <v>11.92192418532767</v>
      </c>
      <c r="F143" s="9">
        <v>839.17242420364812</v>
      </c>
      <c r="G143" s="9">
        <v>873.11746777719736</v>
      </c>
      <c r="H143" s="9">
        <v>2204.5883066812789</v>
      </c>
      <c r="I143" s="24"/>
      <c r="J143" s="9">
        <v>11.705809463448894</v>
      </c>
      <c r="K143" s="9">
        <v>11.85188786428084</v>
      </c>
      <c r="L143" s="22">
        <v>857.29002786205376</v>
      </c>
      <c r="M143" s="22">
        <v>867.98826763011914</v>
      </c>
      <c r="N143" s="22">
        <v>523.94332372887129</v>
      </c>
    </row>
    <row r="144" spans="2:14" x14ac:dyDescent="0.25">
      <c r="B144" s="37">
        <v>140</v>
      </c>
      <c r="D144" s="9">
        <v>11.535780322262422</v>
      </c>
      <c r="E144" s="9">
        <v>12.002965114853719</v>
      </c>
      <c r="F144" s="9">
        <v>838.803169609321</v>
      </c>
      <c r="G144" s="9">
        <v>872.77365741954645</v>
      </c>
      <c r="H144" s="9">
        <v>2222.1130392036066</v>
      </c>
      <c r="I144" s="24"/>
      <c r="J144" s="9">
        <v>11.782173936635212</v>
      </c>
      <c r="K144" s="9">
        <v>11.929317609354481</v>
      </c>
      <c r="L144" s="22">
        <v>856.71923067616888</v>
      </c>
      <c r="M144" s="22">
        <v>867.41851374301837</v>
      </c>
      <c r="N144" s="22">
        <v>527.7641630188524</v>
      </c>
    </row>
    <row r="145" spans="2:14" x14ac:dyDescent="0.25">
      <c r="B145" s="37">
        <v>141</v>
      </c>
      <c r="D145" s="9">
        <v>11.611218063878773</v>
      </c>
      <c r="E145" s="9">
        <v>12.081589225725601</v>
      </c>
      <c r="F145" s="9">
        <v>838.30062542098869</v>
      </c>
      <c r="G145" s="9">
        <v>872.26023560029068</v>
      </c>
      <c r="H145" s="9">
        <v>2237.2686538184489</v>
      </c>
      <c r="I145" s="24"/>
      <c r="J145" s="9">
        <v>11.86974375817787</v>
      </c>
      <c r="K145" s="9">
        <v>12.017940541860645</v>
      </c>
      <c r="L145" s="22">
        <v>856.96552776164219</v>
      </c>
      <c r="M145" s="22">
        <v>867.66496134071906</v>
      </c>
      <c r="N145" s="22">
        <v>531.5413843967691</v>
      </c>
    </row>
    <row r="146" spans="2:14" x14ac:dyDescent="0.25">
      <c r="B146" s="37">
        <v>142</v>
      </c>
      <c r="D146" s="9">
        <v>11.687740039876838</v>
      </c>
      <c r="E146" s="9">
        <v>12.161579101018843</v>
      </c>
      <c r="F146" s="9">
        <v>837.88288704398485</v>
      </c>
      <c r="G146" s="9">
        <v>871.8519554172799</v>
      </c>
      <c r="H146" s="9">
        <v>2253.7633350766505</v>
      </c>
      <c r="I146" s="24"/>
      <c r="J146" s="9">
        <v>11.952772814375917</v>
      </c>
      <c r="K146" s="9">
        <v>12.102026183571843</v>
      </c>
      <c r="L146" s="22">
        <v>856.88283275640731</v>
      </c>
      <c r="M146" s="22">
        <v>867.58266381495662</v>
      </c>
      <c r="N146" s="22">
        <v>535.33106803527517</v>
      </c>
    </row>
    <row r="147" spans="2:14" x14ac:dyDescent="0.25">
      <c r="B147" s="37">
        <v>143</v>
      </c>
      <c r="D147" s="9">
        <v>11.764714046733211</v>
      </c>
      <c r="E147" s="9">
        <v>12.242138406336734</v>
      </c>
      <c r="F147" s="9">
        <v>837.50317020796695</v>
      </c>
      <c r="G147" s="9">
        <v>871.48992187181102</v>
      </c>
      <c r="H147" s="9">
        <v>2270.8164125464582</v>
      </c>
      <c r="I147" s="24"/>
      <c r="J147" s="9">
        <v>12.030375761312493</v>
      </c>
      <c r="K147" s="9">
        <v>12.180682820563543</v>
      </c>
      <c r="L147" s="22">
        <v>856.41502197752311</v>
      </c>
      <c r="M147" s="22">
        <v>867.11503883533578</v>
      </c>
      <c r="N147" s="22">
        <v>539.11036645662409</v>
      </c>
    </row>
    <row r="148" spans="2:14" x14ac:dyDescent="0.25">
      <c r="B148" s="37">
        <v>144</v>
      </c>
      <c r="D148" s="9">
        <v>11.841103982522545</v>
      </c>
      <c r="E148" s="9">
        <v>12.321962047489315</v>
      </c>
      <c r="F148" s="9">
        <v>837.08743727016122</v>
      </c>
      <c r="G148" s="9">
        <v>871.08090999769081</v>
      </c>
      <c r="H148" s="9">
        <v>2287.1484541313785</v>
      </c>
      <c r="I148" s="24"/>
      <c r="J148" s="9">
        <v>12.114671194162703</v>
      </c>
      <c r="K148" s="9">
        <v>12.26603483892692</v>
      </c>
      <c r="L148" s="22">
        <v>856.42682289256663</v>
      </c>
      <c r="M148" s="22">
        <v>867.12722765875776</v>
      </c>
      <c r="N148" s="22">
        <v>542.90005009513163</v>
      </c>
    </row>
    <row r="149" spans="2:14" x14ac:dyDescent="0.25">
      <c r="B149" s="37">
        <v>145</v>
      </c>
      <c r="D149" s="9">
        <v>11.917792292061469</v>
      </c>
      <c r="E149" s="9">
        <v>12.402161568637204</v>
      </c>
      <c r="F149" s="9">
        <v>836.69838615367257</v>
      </c>
      <c r="G149" s="9">
        <v>870.70392863013399</v>
      </c>
      <c r="H149" s="9">
        <v>2303.8491456424053</v>
      </c>
      <c r="I149" s="24"/>
      <c r="J149" s="9">
        <v>12.197360164394542</v>
      </c>
      <c r="K149" s="9">
        <v>12.34978560649642</v>
      </c>
      <c r="L149" s="22">
        <v>856.32567801017785</v>
      </c>
      <c r="M149" s="22">
        <v>867.02683123470183</v>
      </c>
      <c r="N149" s="22">
        <v>546.70842712452315</v>
      </c>
    </row>
    <row r="150" spans="2:14" x14ac:dyDescent="0.25">
      <c r="B150" s="37">
        <v>146</v>
      </c>
      <c r="D150" s="9">
        <v>11.993251171944266</v>
      </c>
      <c r="E150" s="9">
        <v>12.4808125167642</v>
      </c>
      <c r="F150" s="9">
        <v>836.22894257254177</v>
      </c>
      <c r="G150" s="9">
        <v>870.22413720098245</v>
      </c>
      <c r="H150" s="9">
        <v>2319.0318668694626</v>
      </c>
      <c r="I150" s="24"/>
      <c r="J150" s="9">
        <v>12.287902671142712</v>
      </c>
      <c r="K150" s="9">
        <v>12.441384698757751</v>
      </c>
      <c r="L150" s="22">
        <v>856.77350618332673</v>
      </c>
      <c r="M150" s="22">
        <v>867.47503421908175</v>
      </c>
      <c r="N150" s="22">
        <v>550.49811076302922</v>
      </c>
    </row>
    <row r="151" spans="2:14" x14ac:dyDescent="0.25">
      <c r="B151" s="37">
        <v>147</v>
      </c>
      <c r="D151" s="9">
        <v>12.070035744703187</v>
      </c>
      <c r="E151" s="9">
        <v>12.561133376682186</v>
      </c>
      <c r="F151" s="9">
        <v>835.85769105802683</v>
      </c>
      <c r="G151" s="9">
        <v>869.86651600539028</v>
      </c>
      <c r="H151" s="9">
        <v>2335.85182747423</v>
      </c>
      <c r="I151" s="24"/>
      <c r="J151" s="9">
        <v>12.366341339955351</v>
      </c>
      <c r="K151" s="9">
        <v>12.520888639457702</v>
      </c>
      <c r="L151" s="22">
        <v>856.37704294178036</v>
      </c>
      <c r="M151" s="22">
        <v>867.07954222625665</v>
      </c>
      <c r="N151" s="22">
        <v>554.31895005301021</v>
      </c>
    </row>
    <row r="152" spans="2:14" x14ac:dyDescent="0.25">
      <c r="B152" s="37">
        <v>148</v>
      </c>
      <c r="D152" s="9">
        <v>12.146723572051711</v>
      </c>
      <c r="E152" s="9">
        <v>12.641332415639695</v>
      </c>
      <c r="F152" s="9">
        <v>835.48480204247448</v>
      </c>
      <c r="G152" s="9">
        <v>869.50534835048302</v>
      </c>
      <c r="H152" s="9">
        <v>2352.5525189852578</v>
      </c>
      <c r="I152" s="24"/>
      <c r="J152" s="9">
        <v>12.448148617080975</v>
      </c>
      <c r="K152" s="9">
        <v>12.603749027546833</v>
      </c>
      <c r="L152" s="22">
        <v>856.21763938606614</v>
      </c>
      <c r="M152" s="22">
        <v>866.92026033274794</v>
      </c>
      <c r="N152" s="22">
        <v>558.09617143092726</v>
      </c>
    </row>
    <row r="153" spans="2:14" x14ac:dyDescent="0.25">
      <c r="B153" s="37">
        <v>149</v>
      </c>
      <c r="D153" s="9">
        <v>12.223112706235488</v>
      </c>
      <c r="E153" s="9">
        <v>12.721155255186714</v>
      </c>
      <c r="F153" s="9">
        <v>835.0965112028905</v>
      </c>
      <c r="G153" s="9">
        <v>869.12332622584199</v>
      </c>
      <c r="H153" s="9">
        <v>2368.8845605701777</v>
      </c>
      <c r="I153" s="24"/>
      <c r="J153" s="9">
        <v>12.532446244804136</v>
      </c>
      <c r="K153" s="9">
        <v>12.68910324078316</v>
      </c>
      <c r="L153" s="22">
        <v>856.23051896876359</v>
      </c>
      <c r="M153" s="22">
        <v>866.93349732965771</v>
      </c>
      <c r="N153" s="22">
        <v>561.88585506943298</v>
      </c>
    </row>
    <row r="154" spans="2:14" x14ac:dyDescent="0.25">
      <c r="B154" s="37">
        <v>150</v>
      </c>
      <c r="D154" s="9">
        <v>12.299536805784408</v>
      </c>
      <c r="E154" s="9">
        <v>12.801022178480718</v>
      </c>
      <c r="F154" s="9">
        <v>834.71577052091072</v>
      </c>
      <c r="G154" s="9">
        <v>868.7493895006354</v>
      </c>
      <c r="H154" s="9">
        <v>2385.2599727346424</v>
      </c>
      <c r="I154" s="24"/>
      <c r="J154" s="9">
        <v>12.612594691029619</v>
      </c>
      <c r="K154" s="9">
        <v>12.770305377063764</v>
      </c>
      <c r="L154" s="22">
        <v>855.9616400220458</v>
      </c>
      <c r="M154" s="22">
        <v>866.66477452955519</v>
      </c>
      <c r="N154" s="22">
        <v>565.66515349078179</v>
      </c>
    </row>
    <row r="155" spans="2:14" x14ac:dyDescent="0.25">
      <c r="B155" s="37">
        <v>151</v>
      </c>
      <c r="D155" s="9">
        <v>12.375925628689217</v>
      </c>
      <c r="E155" s="9">
        <v>12.880844706748773</v>
      </c>
      <c r="F155" s="9">
        <v>834.33769454509718</v>
      </c>
      <c r="G155" s="9">
        <v>868.37741263644318</v>
      </c>
      <c r="H155" s="9">
        <v>2401.5920143195622</v>
      </c>
      <c r="I155" s="24"/>
      <c r="J155" s="9">
        <v>12.694408241467967</v>
      </c>
      <c r="K155" s="9">
        <v>12.853172038465608</v>
      </c>
      <c r="L155" s="22">
        <v>855.80857735991776</v>
      </c>
      <c r="M155" s="22">
        <v>866.51182690572705</v>
      </c>
      <c r="N155" s="22">
        <v>569.44237486869997</v>
      </c>
    </row>
    <row r="156" spans="2:14" x14ac:dyDescent="0.25">
      <c r="B156" s="37">
        <v>152</v>
      </c>
      <c r="D156" s="9">
        <v>12.452612830406419</v>
      </c>
      <c r="E156" s="9">
        <v>12.961043120074965</v>
      </c>
      <c r="F156" s="9">
        <v>833.98457647524162</v>
      </c>
      <c r="G156" s="9">
        <v>868.03550422600563</v>
      </c>
      <c r="H156" s="9">
        <v>2418.2927058305895</v>
      </c>
      <c r="I156" s="24"/>
      <c r="J156" s="9">
        <v>12.779600291375694</v>
      </c>
      <c r="K156" s="9">
        <v>12.939429360260656</v>
      </c>
      <c r="L156" s="22">
        <v>855.88379576866555</v>
      </c>
      <c r="M156" s="22">
        <v>866.58797328850153</v>
      </c>
      <c r="N156" s="22">
        <v>573.26321415868108</v>
      </c>
    </row>
    <row r="157" spans="2:14" x14ac:dyDescent="0.25">
      <c r="B157" s="37">
        <v>153</v>
      </c>
      <c r="D157" s="9">
        <v>12.52890476274294</v>
      </c>
      <c r="E157" s="9">
        <v>13.040743682224626</v>
      </c>
      <c r="F157" s="9">
        <v>833.6097751081212</v>
      </c>
      <c r="G157" s="9">
        <v>867.66494071441639</v>
      </c>
      <c r="H157" s="9">
        <v>2434.5054783217679</v>
      </c>
      <c r="I157" s="24"/>
      <c r="J157" s="9">
        <v>12.862663797896587</v>
      </c>
      <c r="K157" s="9">
        <v>13.023549452294722</v>
      </c>
      <c r="L157" s="22">
        <v>855.81640844945605</v>
      </c>
      <c r="M157" s="22">
        <v>866.52092386566142</v>
      </c>
      <c r="N157" s="22">
        <v>577.05289779718737</v>
      </c>
    </row>
    <row r="158" spans="2:14" x14ac:dyDescent="0.25">
      <c r="B158" s="37">
        <v>154</v>
      </c>
      <c r="D158" s="9">
        <v>12.604854111354767</v>
      </c>
      <c r="E158" s="9">
        <v>13.120012756426547</v>
      </c>
      <c r="F158" s="9">
        <v>833.21719551938008</v>
      </c>
      <c r="G158" s="9">
        <v>867.27066711867474</v>
      </c>
      <c r="H158" s="9">
        <v>2450.2953876624142</v>
      </c>
      <c r="I158" s="24"/>
      <c r="J158" s="9">
        <v>12.9452285034016</v>
      </c>
      <c r="K158" s="9">
        <v>13.107167268763233</v>
      </c>
      <c r="L158" s="22">
        <v>855.71692410508399</v>
      </c>
      <c r="M158" s="22">
        <v>866.42154335164412</v>
      </c>
      <c r="N158" s="22">
        <v>580.83011917510385</v>
      </c>
    </row>
    <row r="159" spans="2:14" x14ac:dyDescent="0.25">
      <c r="B159" s="37">
        <v>155</v>
      </c>
      <c r="D159" s="9">
        <v>12.681540858112278</v>
      </c>
      <c r="E159" s="9">
        <v>13.200210714793039</v>
      </c>
      <c r="F159" s="9">
        <v>832.87811113866371</v>
      </c>
      <c r="G159" s="9">
        <v>866.94248670391653</v>
      </c>
      <c r="H159" s="9">
        <v>2466.996079173442</v>
      </c>
      <c r="I159" s="24"/>
      <c r="J159" s="9">
        <v>13.030418812160397</v>
      </c>
      <c r="K159" s="9">
        <v>13.193422849409352</v>
      </c>
      <c r="L159" s="22">
        <v>855.7911636325681</v>
      </c>
      <c r="M159" s="22">
        <v>866.49668405558816</v>
      </c>
      <c r="N159" s="22">
        <v>584.65095846508484</v>
      </c>
    </row>
    <row r="160" spans="2:14" x14ac:dyDescent="0.25">
      <c r="B160" s="37">
        <v>156</v>
      </c>
      <c r="D160" s="9">
        <v>12.758214284387808</v>
      </c>
      <c r="E160" s="9">
        <v>13.280391933284344</v>
      </c>
      <c r="F160" s="9">
        <v>832.54250476008383</v>
      </c>
      <c r="G160" s="9">
        <v>866.61742136295334</v>
      </c>
      <c r="H160" s="9">
        <v>2483.6805067171426</v>
      </c>
      <c r="I160" s="24"/>
      <c r="J160" s="9">
        <v>13.109780872215094</v>
      </c>
      <c r="K160" s="9">
        <v>13.273841494977217</v>
      </c>
      <c r="L160" s="22">
        <v>855.48412661212103</v>
      </c>
      <c r="M160" s="22">
        <v>866.18996982514955</v>
      </c>
      <c r="N160" s="22">
        <v>588.4406421035909</v>
      </c>
    </row>
    <row r="161" spans="2:14" x14ac:dyDescent="0.25">
      <c r="B161" s="37">
        <v>157</v>
      </c>
      <c r="D161" s="9">
        <v>12.83490073226621</v>
      </c>
      <c r="E161" s="9">
        <v>13.360589592771726</v>
      </c>
      <c r="F161" s="9">
        <v>832.21201793973751</v>
      </c>
      <c r="G161" s="9">
        <v>866.29756301216059</v>
      </c>
      <c r="H161" s="9">
        <v>2500.3811982281704</v>
      </c>
      <c r="I161" s="24"/>
      <c r="J161" s="9">
        <v>13.189948517378529</v>
      </c>
      <c r="K161" s="9">
        <v>13.355059355646105</v>
      </c>
      <c r="L161" s="22">
        <v>855.23323484487094</v>
      </c>
      <c r="M161" s="22">
        <v>865.93898370609486</v>
      </c>
      <c r="N161" s="22">
        <v>592.20747826435024</v>
      </c>
    </row>
    <row r="162" spans="2:14" x14ac:dyDescent="0.25">
      <c r="B162" s="37">
        <v>158</v>
      </c>
      <c r="D162" s="9">
        <v>12.910739737534282</v>
      </c>
      <c r="E162" s="9">
        <v>13.439719828686622</v>
      </c>
      <c r="F162" s="9">
        <v>831.83111428454606</v>
      </c>
      <c r="G162" s="9">
        <v>865.91298004924363</v>
      </c>
      <c r="H162" s="9">
        <v>2516.0355745077441</v>
      </c>
      <c r="I162" s="24"/>
      <c r="J162" s="9">
        <v>13.27673181136679</v>
      </c>
      <c r="K162" s="9">
        <v>13.442899235147541</v>
      </c>
      <c r="L162" s="22">
        <v>855.41176115564087</v>
      </c>
      <c r="M162" s="22">
        <v>866.11782727511263</v>
      </c>
      <c r="N162" s="22">
        <v>595.99716190285801</v>
      </c>
    </row>
    <row r="163" spans="2:14" x14ac:dyDescent="0.25">
      <c r="B163" s="37">
        <v>159</v>
      </c>
      <c r="D163" s="9">
        <v>13.026392257945671</v>
      </c>
      <c r="E163" s="9">
        <v>13.557160516417197</v>
      </c>
      <c r="F163" s="9">
        <v>803.67661011762482</v>
      </c>
      <c r="G163" s="9">
        <v>836.42290136079214</v>
      </c>
      <c r="H163" s="9">
        <v>2551.3644645966911</v>
      </c>
      <c r="I163" s="24"/>
      <c r="J163" s="9">
        <v>13.23455735746654</v>
      </c>
      <c r="K163" s="9">
        <v>13.386080199699149</v>
      </c>
      <c r="L163" s="22">
        <v>816.51956910542003</v>
      </c>
      <c r="M163" s="22">
        <v>825.86792602493563</v>
      </c>
      <c r="N163" s="22">
        <v>543.44276781638223</v>
      </c>
    </row>
    <row r="164" spans="2:14" x14ac:dyDescent="0.25">
      <c r="B164" s="37">
        <v>160</v>
      </c>
      <c r="D164" s="9">
        <v>13.101571807078937</v>
      </c>
      <c r="E164" s="9">
        <v>13.6354014016429</v>
      </c>
      <c r="F164" s="9">
        <v>803.44552258596741</v>
      </c>
      <c r="G164" s="9">
        <v>836.1822814948913</v>
      </c>
      <c r="H164" s="9">
        <v>2566.0800848241515</v>
      </c>
      <c r="I164" s="24"/>
      <c r="J164" s="9">
        <v>13.325131956217323</v>
      </c>
      <c r="K164" s="9">
        <v>13.477574720883078</v>
      </c>
      <c r="L164" s="22">
        <v>817.15520593532221</v>
      </c>
      <c r="M164" s="22">
        <v>826.5036611073308</v>
      </c>
      <c r="N164" s="22">
        <v>546.7420848667316</v>
      </c>
    </row>
    <row r="165" spans="2:14" x14ac:dyDescent="0.25">
      <c r="B165" s="37">
        <v>161</v>
      </c>
      <c r="D165" s="9">
        <v>13.17739484013233</v>
      </c>
      <c r="E165" s="9">
        <v>13.714449738332656</v>
      </c>
      <c r="F165" s="9">
        <v>803.25642751519069</v>
      </c>
      <c r="G165" s="9">
        <v>835.99376324365369</v>
      </c>
      <c r="H165" s="9">
        <v>2581.5838851249096</v>
      </c>
      <c r="I165" s="24"/>
      <c r="J165" s="9">
        <v>13.405118650982843</v>
      </c>
      <c r="K165" s="9">
        <v>13.558479121129515</v>
      </c>
      <c r="L165" s="22">
        <v>817.13782190179847</v>
      </c>
      <c r="M165" s="22">
        <v>826.48623901053475</v>
      </c>
      <c r="N165" s="22">
        <v>550.03348083114952</v>
      </c>
    </row>
    <row r="166" spans="2:14" x14ac:dyDescent="0.25">
      <c r="B166" s="37">
        <v>162</v>
      </c>
      <c r="D166" s="9">
        <v>13.2537626414267</v>
      </c>
      <c r="E166" s="9">
        <v>13.794181669117224</v>
      </c>
      <c r="F166" s="9">
        <v>803.102593431522</v>
      </c>
      <c r="G166" s="9">
        <v>835.8489111693566</v>
      </c>
      <c r="H166" s="9">
        <v>2597.7550112210729</v>
      </c>
      <c r="I166" s="24"/>
      <c r="J166" s="9">
        <v>13.481526058964572</v>
      </c>
      <c r="K166" s="9">
        <v>13.635805958888348</v>
      </c>
      <c r="L166" s="22">
        <v>816.90376041045636</v>
      </c>
      <c r="M166" s="22">
        <v>826.25224439159115</v>
      </c>
      <c r="N166" s="22">
        <v>553.33103764018108</v>
      </c>
    </row>
    <row r="167" spans="2:14" x14ac:dyDescent="0.25">
      <c r="B167" s="37">
        <v>163</v>
      </c>
      <c r="D167" s="9">
        <v>13.330143084222104</v>
      </c>
      <c r="E167" s="9">
        <v>13.873929520753693</v>
      </c>
      <c r="F167" s="9">
        <v>802.95134134001557</v>
      </c>
      <c r="G167" s="9">
        <v>835.70673232545494</v>
      </c>
      <c r="H167" s="9">
        <v>2613.9419009186959</v>
      </c>
      <c r="I167" s="24"/>
      <c r="J167" s="9">
        <v>13.563591378364267</v>
      </c>
      <c r="K167" s="9">
        <v>13.718791151455603</v>
      </c>
      <c r="L167" s="22">
        <v>817.01327748958738</v>
      </c>
      <c r="M167" s="22">
        <v>826.36185425969393</v>
      </c>
      <c r="N167" s="22">
        <v>556.63017866639757</v>
      </c>
    </row>
    <row r="168" spans="2:14" x14ac:dyDescent="0.25">
      <c r="B168" s="37">
        <v>164</v>
      </c>
      <c r="D168" s="9">
        <v>13.406360230380349</v>
      </c>
      <c r="E168" s="9">
        <v>13.953472537308555</v>
      </c>
      <c r="F168" s="9">
        <v>802.79209024789748</v>
      </c>
      <c r="G168" s="9">
        <v>835.55396035518629</v>
      </c>
      <c r="H168" s="9">
        <v>2629.9291183310838</v>
      </c>
      <c r="I168" s="24"/>
      <c r="J168" s="9">
        <v>13.643640380360273</v>
      </c>
      <c r="K168" s="9">
        <v>13.799759583228711</v>
      </c>
      <c r="L168" s="22">
        <v>817.00076615271553</v>
      </c>
      <c r="M168" s="22">
        <v>826.34940806930183</v>
      </c>
      <c r="N168" s="22">
        <v>559.92773547542913</v>
      </c>
    </row>
    <row r="169" spans="2:14" x14ac:dyDescent="0.25">
      <c r="B169" s="37">
        <v>165</v>
      </c>
      <c r="D169" s="9">
        <v>13.482354009318989</v>
      </c>
      <c r="E169" s="9">
        <v>14.032735344561923</v>
      </c>
      <c r="F169" s="9">
        <v>802.62140441157328</v>
      </c>
      <c r="G169" s="9">
        <v>835.38629398124817</v>
      </c>
      <c r="H169" s="9">
        <v>2645.643099984728</v>
      </c>
      <c r="I169" s="24"/>
      <c r="J169" s="9">
        <v>13.722887546968817</v>
      </c>
      <c r="K169" s="9">
        <v>13.879925440630281</v>
      </c>
      <c r="L169" s="22">
        <v>816.94066688333066</v>
      </c>
      <c r="M169" s="22">
        <v>826.28932919180284</v>
      </c>
      <c r="N169" s="22">
        <v>563.22265192248267</v>
      </c>
    </row>
    <row r="170" spans="2:14" x14ac:dyDescent="0.25">
      <c r="B170" s="37">
        <v>166</v>
      </c>
      <c r="D170" s="9">
        <v>13.559107092142925</v>
      </c>
      <c r="E170" s="9">
        <v>14.112950937402395</v>
      </c>
      <c r="F170" s="9">
        <v>802.49764280054148</v>
      </c>
      <c r="G170" s="9">
        <v>835.27696796405939</v>
      </c>
      <c r="H170" s="9">
        <v>2662.2871341248756</v>
      </c>
      <c r="I170" s="24"/>
      <c r="J170" s="9">
        <v>13.801326659293913</v>
      </c>
      <c r="K170" s="9">
        <v>13.959284426122926</v>
      </c>
      <c r="L170" s="22">
        <v>816.83344163728589</v>
      </c>
      <c r="M170" s="22">
        <v>826.18219407953006</v>
      </c>
      <c r="N170" s="22">
        <v>566.52179294870075</v>
      </c>
    </row>
    <row r="171" spans="2:14" x14ac:dyDescent="0.25">
      <c r="B171" s="37">
        <v>167</v>
      </c>
      <c r="D171" s="9">
        <v>13.634263661625152</v>
      </c>
      <c r="E171" s="9">
        <v>14.19116337739227</v>
      </c>
      <c r="F171" s="9">
        <v>802.28136827915364</v>
      </c>
      <c r="G171" s="9">
        <v>835.05103425073412</v>
      </c>
      <c r="H171" s="9">
        <v>2676.9764816832212</v>
      </c>
      <c r="I171" s="24"/>
      <c r="J171" s="9">
        <v>13.888121293748739</v>
      </c>
      <c r="K171" s="9">
        <v>14.046998490354863</v>
      </c>
      <c r="L171" s="22">
        <v>817.2191202181491</v>
      </c>
      <c r="M171" s="22">
        <v>826.56793566171984</v>
      </c>
      <c r="N171" s="22">
        <v>569.81934975773095</v>
      </c>
    </row>
    <row r="172" spans="2:14" x14ac:dyDescent="0.25">
      <c r="B172" s="37">
        <v>168</v>
      </c>
      <c r="D172" s="9">
        <v>13.710758827413382</v>
      </c>
      <c r="E172" s="9">
        <v>14.271055466179481</v>
      </c>
      <c r="F172" s="9">
        <v>802.14589404843241</v>
      </c>
      <c r="G172" s="9">
        <v>834.92596507825397</v>
      </c>
      <c r="H172" s="9">
        <v>2693.3052437940382</v>
      </c>
      <c r="I172" s="24"/>
      <c r="J172" s="9">
        <v>13.96255768363366</v>
      </c>
      <c r="K172" s="9">
        <v>14.122353571032809</v>
      </c>
      <c r="L172" s="22">
        <v>816.87734846212606</v>
      </c>
      <c r="M172" s="22">
        <v>826.22618294871688</v>
      </c>
      <c r="N172" s="22">
        <v>573.11426620478562</v>
      </c>
    </row>
    <row r="173" spans="2:14" x14ac:dyDescent="0.25">
      <c r="B173" s="37">
        <v>169</v>
      </c>
      <c r="D173" s="9">
        <v>13.787137907405768</v>
      </c>
      <c r="E173" s="9">
        <v>14.350801955012935</v>
      </c>
      <c r="F173" s="9">
        <v>802.00521532155472</v>
      </c>
      <c r="G173" s="9">
        <v>834.79385564025199</v>
      </c>
      <c r="H173" s="9">
        <v>2709.4921334916658</v>
      </c>
      <c r="I173" s="24"/>
      <c r="J173" s="9">
        <v>14.043017727633544</v>
      </c>
      <c r="K173" s="9">
        <v>14.203733241872213</v>
      </c>
      <c r="L173" s="22">
        <v>816.8898818634035</v>
      </c>
      <c r="M173" s="22">
        <v>826.23878962570723</v>
      </c>
      <c r="N173" s="22">
        <v>576.41252711034338</v>
      </c>
    </row>
    <row r="174" spans="2:14" x14ac:dyDescent="0.25">
      <c r="B174" s="37">
        <v>170</v>
      </c>
      <c r="D174" s="9">
        <v>13.86285166413297</v>
      </c>
      <c r="E174" s="9">
        <v>14.429713687452505</v>
      </c>
      <c r="F174" s="9">
        <v>801.82765290390978</v>
      </c>
      <c r="G174" s="9">
        <v>834.61496511721487</v>
      </c>
      <c r="H174" s="9">
        <v>2724.8645704468745</v>
      </c>
      <c r="I174" s="24"/>
      <c r="J174" s="9">
        <v>14.127072392575913</v>
      </c>
      <c r="K174" s="9">
        <v>14.288706597607597</v>
      </c>
      <c r="L174" s="22">
        <v>817.11018579604956</v>
      </c>
      <c r="M174" s="22">
        <v>826.45911186043656</v>
      </c>
      <c r="N174" s="22">
        <v>579.70744355739691</v>
      </c>
    </row>
    <row r="175" spans="2:14" x14ac:dyDescent="0.25">
      <c r="B175" s="37">
        <v>171</v>
      </c>
      <c r="D175" s="9">
        <v>13.939882517515484</v>
      </c>
      <c r="E175" s="9">
        <v>14.51027810345391</v>
      </c>
      <c r="F175" s="9">
        <v>801.7278473409483</v>
      </c>
      <c r="G175" s="9">
        <v>834.53314714692533</v>
      </c>
      <c r="H175" s="9">
        <v>2741.8501492854516</v>
      </c>
      <c r="I175" s="24"/>
      <c r="J175" s="9">
        <v>14.203100930907077</v>
      </c>
      <c r="K175" s="9">
        <v>14.365655058371916</v>
      </c>
      <c r="L175" s="22">
        <v>816.86639185047216</v>
      </c>
      <c r="M175" s="22">
        <v>826.2154068457578</v>
      </c>
      <c r="N175" s="22">
        <v>583.00676060774629</v>
      </c>
    </row>
    <row r="176" spans="2:14" x14ac:dyDescent="0.25">
      <c r="B176" s="37">
        <v>172</v>
      </c>
      <c r="D176" s="9">
        <v>14.015724563595448</v>
      </c>
      <c r="E176" s="9">
        <v>14.589350918755034</v>
      </c>
      <c r="F176" s="9">
        <v>801.56117513908964</v>
      </c>
      <c r="G176" s="9">
        <v>834.36694363476556</v>
      </c>
      <c r="H176" s="9">
        <v>2757.3802222553254</v>
      </c>
      <c r="I176" s="24"/>
      <c r="J176" s="9">
        <v>14.282779106363385</v>
      </c>
      <c r="K176" s="9">
        <v>14.446251431965205</v>
      </c>
      <c r="L176" s="22">
        <v>816.83406040135458</v>
      </c>
      <c r="M176" s="22">
        <v>826.18306471558469</v>
      </c>
      <c r="N176" s="22">
        <v>586.29991681348349</v>
      </c>
    </row>
    <row r="177" spans="2:14" x14ac:dyDescent="0.25">
      <c r="B177" s="37">
        <v>173</v>
      </c>
      <c r="D177" s="9">
        <v>14.092089877413773</v>
      </c>
      <c r="E177" s="9">
        <v>14.669080362063552</v>
      </c>
      <c r="F177" s="9">
        <v>801.42612376591546</v>
      </c>
      <c r="G177" s="9">
        <v>834.23993999794413</v>
      </c>
      <c r="H177" s="9">
        <v>2773.5513483514837</v>
      </c>
      <c r="I177" s="24"/>
      <c r="J177" s="9">
        <v>14.363997829671128</v>
      </c>
      <c r="K177" s="9">
        <v>14.52839126008063</v>
      </c>
      <c r="L177" s="22">
        <v>816.889702134657</v>
      </c>
      <c r="M177" s="22">
        <v>826.2388611913866</v>
      </c>
      <c r="N177" s="22">
        <v>589.60345844299422</v>
      </c>
    </row>
    <row r="178" spans="2:14" x14ac:dyDescent="0.25">
      <c r="B178" s="37">
        <v>174</v>
      </c>
      <c r="D178" s="9">
        <v>14.167910038595364</v>
      </c>
      <c r="E178" s="9">
        <v>14.748125826881486</v>
      </c>
      <c r="F178" s="9">
        <v>801.26174202587879</v>
      </c>
      <c r="G178" s="9">
        <v>834.07566532201713</v>
      </c>
      <c r="H178" s="9">
        <v>2789.0551486522477</v>
      </c>
      <c r="I178" s="24"/>
      <c r="J178" s="9">
        <v>14.443199830420006</v>
      </c>
      <c r="K178" s="9">
        <v>14.60851145896647</v>
      </c>
      <c r="L178" s="22">
        <v>816.8306705099294</v>
      </c>
      <c r="M178" s="22">
        <v>826.17981820393936</v>
      </c>
      <c r="N178" s="22">
        <v>592.89661464873132</v>
      </c>
    </row>
    <row r="179" spans="2:14" x14ac:dyDescent="0.25">
      <c r="B179" s="37">
        <v>175</v>
      </c>
      <c r="D179" s="9">
        <v>14.243996014864136</v>
      </c>
      <c r="E179" s="9">
        <v>14.8275048800381</v>
      </c>
      <c r="F179" s="9">
        <v>801.11412669242952</v>
      </c>
      <c r="G179" s="9">
        <v>833.93196758857437</v>
      </c>
      <c r="H179" s="9">
        <v>2804.884730049977</v>
      </c>
      <c r="I179" s="24"/>
      <c r="J179" s="9">
        <v>14.5236524833964</v>
      </c>
      <c r="K179" s="9">
        <v>14.689882802735893</v>
      </c>
      <c r="L179" s="22">
        <v>816.84263064092283</v>
      </c>
      <c r="M179" s="22">
        <v>826.19179480584501</v>
      </c>
      <c r="N179" s="22">
        <v>596.19153109578497</v>
      </c>
    </row>
    <row r="180" spans="2:14" x14ac:dyDescent="0.25">
      <c r="B180" s="37">
        <v>176</v>
      </c>
      <c r="D180" s="9">
        <v>14.32011610128192</v>
      </c>
      <c r="E180" s="9">
        <v>14.906926788279391</v>
      </c>
      <c r="F180" s="9">
        <v>800.97004139558305</v>
      </c>
      <c r="G180" s="9">
        <v>833.7922459734956</v>
      </c>
      <c r="H180" s="9">
        <v>2820.7563477182789</v>
      </c>
      <c r="I180" s="24"/>
      <c r="J180" s="9">
        <v>14.604880405019474</v>
      </c>
      <c r="K180" s="9">
        <v>14.772030843854553</v>
      </c>
      <c r="L180" s="22">
        <v>816.89782260485936</v>
      </c>
      <c r="M180" s="22">
        <v>826.24708297161283</v>
      </c>
      <c r="N180" s="22">
        <v>599.4915522426619</v>
      </c>
    </row>
    <row r="181" spans="2:14" x14ac:dyDescent="0.25">
      <c r="B181" s="37">
        <v>177</v>
      </c>
      <c r="D181" s="9">
        <v>14.396866700840651</v>
      </c>
      <c r="E181" s="9">
        <v>14.987139897854656</v>
      </c>
      <c r="F181" s="9">
        <v>800.86260471069875</v>
      </c>
      <c r="G181" s="9">
        <v>833.69806397239665</v>
      </c>
      <c r="H181" s="9">
        <v>2837.4003818584215</v>
      </c>
      <c r="I181" s="24"/>
      <c r="J181" s="9">
        <v>14.678607903162366</v>
      </c>
      <c r="K181" s="9">
        <v>14.846676540134407</v>
      </c>
      <c r="L181" s="22">
        <v>816.53518110070718</v>
      </c>
      <c r="M181" s="22">
        <v>825.8844297374086</v>
      </c>
      <c r="N181" s="22">
        <v>602.78470844839751</v>
      </c>
    </row>
    <row r="182" spans="2:14" x14ac:dyDescent="0.25">
      <c r="B182" s="37">
        <v>178</v>
      </c>
      <c r="D182" s="9">
        <v>14.472578741582012</v>
      </c>
      <c r="E182" s="9">
        <v>15.06604991430839</v>
      </c>
      <c r="F182" s="9">
        <v>800.69887730111873</v>
      </c>
      <c r="G182" s="9">
        <v>833.53281175036011</v>
      </c>
      <c r="H182" s="9">
        <v>2852.7728188136302</v>
      </c>
      <c r="I182" s="24"/>
      <c r="J182" s="9">
        <v>14.766569741049739</v>
      </c>
      <c r="K182" s="9">
        <v>14.935558300454943</v>
      </c>
      <c r="L182" s="22">
        <v>816.96399959989094</v>
      </c>
      <c r="M182" s="22">
        <v>826.31333203114013</v>
      </c>
      <c r="N182" s="22">
        <v>606.08402549874688</v>
      </c>
    </row>
    <row r="183" spans="2:14" x14ac:dyDescent="0.25">
      <c r="B183" s="37">
        <v>179</v>
      </c>
      <c r="D183" s="9">
        <v>14.549607787131801</v>
      </c>
      <c r="E183" s="9">
        <v>15.146612522477081</v>
      </c>
      <c r="F183" s="9">
        <v>800.60938966600304</v>
      </c>
      <c r="G183" s="9">
        <v>833.46028185398563</v>
      </c>
      <c r="H183" s="9">
        <v>2869.7583976522073</v>
      </c>
      <c r="I183" s="24"/>
      <c r="J183" s="9">
        <v>14.842646723430475</v>
      </c>
      <c r="K183" s="9">
        <v>15.012555451596869</v>
      </c>
      <c r="L183" s="22">
        <v>816.73420398202563</v>
      </c>
      <c r="M183" s="22">
        <v>826.0836328564269</v>
      </c>
      <c r="N183" s="22">
        <v>609.38422266975397</v>
      </c>
    </row>
    <row r="184" spans="2:14" x14ac:dyDescent="0.25">
      <c r="B184" s="37">
        <v>180</v>
      </c>
      <c r="D184" s="9">
        <v>14.624761632472721</v>
      </c>
      <c r="E184" s="9">
        <v>15.224822238325643</v>
      </c>
      <c r="F184" s="9">
        <v>800.41823391116964</v>
      </c>
      <c r="G184" s="9">
        <v>833.25975724307887</v>
      </c>
      <c r="H184" s="9">
        <v>2884.4477452105534</v>
      </c>
      <c r="I184" s="24"/>
      <c r="J184" s="9">
        <v>14.926981498524093</v>
      </c>
      <c r="K184" s="9">
        <v>15.097809360873946</v>
      </c>
      <c r="L184" s="22">
        <v>816.95883111998785</v>
      </c>
      <c r="M184" s="22">
        <v>826.30829877772294</v>
      </c>
      <c r="N184" s="22">
        <v>612.68072333399516</v>
      </c>
    </row>
    <row r="185" spans="2:14" x14ac:dyDescent="0.25">
      <c r="B185" s="37">
        <v>181</v>
      </c>
      <c r="D185" s="9">
        <v>14.700601764900474</v>
      </c>
      <c r="E185" s="9">
        <v>15.303893139974551</v>
      </c>
      <c r="F185" s="9">
        <v>800.26648247169408</v>
      </c>
      <c r="G185" s="9">
        <v>833.10825822734876</v>
      </c>
      <c r="H185" s="9">
        <v>2899.9778181804268</v>
      </c>
      <c r="I185" s="24"/>
      <c r="J185" s="9">
        <v>15.009796057027549</v>
      </c>
      <c r="K185" s="9">
        <v>15.181542610170434</v>
      </c>
      <c r="L185" s="22">
        <v>817.09829878221058</v>
      </c>
      <c r="M185" s="22">
        <v>826.44778067134359</v>
      </c>
      <c r="N185" s="22">
        <v>615.97563978104859</v>
      </c>
    </row>
    <row r="186" spans="2:14" x14ac:dyDescent="0.25">
      <c r="B186" s="37">
        <v>182</v>
      </c>
      <c r="D186" s="9">
        <v>14.777630151563708</v>
      </c>
      <c r="E186" s="9">
        <v>15.384455089256676</v>
      </c>
      <c r="F186" s="9">
        <v>800.18068712579293</v>
      </c>
      <c r="G186" s="9">
        <v>833.03910830889754</v>
      </c>
      <c r="H186" s="9">
        <v>2916.9633970190039</v>
      </c>
      <c r="I186" s="24"/>
      <c r="J186" s="9">
        <v>15.086665214439098</v>
      </c>
      <c r="K186" s="9">
        <v>15.259332675327249</v>
      </c>
      <c r="L186" s="22">
        <v>816.91435053605403</v>
      </c>
      <c r="M186" s="22">
        <v>826.26396654895211</v>
      </c>
      <c r="N186" s="22">
        <v>619.27847731403324</v>
      </c>
    </row>
    <row r="187" spans="2:14" x14ac:dyDescent="0.25">
      <c r="B187" s="37">
        <v>183</v>
      </c>
      <c r="D187" s="9">
        <v>14.853341148113477</v>
      </c>
      <c r="E187" s="9">
        <v>15.463364061518812</v>
      </c>
      <c r="F187" s="9">
        <v>800.02484291687608</v>
      </c>
      <c r="G187" s="9">
        <v>832.88165813483022</v>
      </c>
      <c r="H187" s="9">
        <v>2932.3358339742122</v>
      </c>
      <c r="I187" s="24"/>
      <c r="J187" s="9">
        <v>15.168311599877303</v>
      </c>
      <c r="K187" s="9">
        <v>15.341897455964837</v>
      </c>
      <c r="L187" s="22">
        <v>816.98965801693305</v>
      </c>
      <c r="M187" s="22">
        <v>826.339271404535</v>
      </c>
      <c r="N187" s="22">
        <v>622.57233761629664</v>
      </c>
    </row>
    <row r="188" spans="2:14" x14ac:dyDescent="0.25">
      <c r="B188" s="37">
        <v>184</v>
      </c>
      <c r="D188" s="9">
        <v>14.93009021670319</v>
      </c>
      <c r="E188" s="9">
        <v>15.543575640125072</v>
      </c>
      <c r="F188" s="9">
        <v>799.92625712802976</v>
      </c>
      <c r="G188" s="9">
        <v>832.79565653805116</v>
      </c>
      <c r="H188" s="9">
        <v>2948.9798681143538</v>
      </c>
      <c r="I188" s="24"/>
      <c r="J188" s="9">
        <v>15.242871099724514</v>
      </c>
      <c r="K188" s="9">
        <v>15.417374661292966</v>
      </c>
      <c r="L188" s="22">
        <v>816.68447073725042</v>
      </c>
      <c r="M188" s="22">
        <v>826.03404457336796</v>
      </c>
      <c r="N188" s="22">
        <v>625.86373358071455</v>
      </c>
    </row>
    <row r="189" spans="2:14" x14ac:dyDescent="0.25">
      <c r="B189" s="37">
        <v>185</v>
      </c>
      <c r="D189" s="9">
        <v>15.005543378206298</v>
      </c>
      <c r="E189" s="9">
        <v>15.622161190322986</v>
      </c>
      <c r="F189" s="9">
        <v>799.7596348974937</v>
      </c>
      <c r="G189" s="9">
        <v>832.62389204968497</v>
      </c>
      <c r="H189" s="9">
        <v>2964.0370330402443</v>
      </c>
      <c r="I189" s="24"/>
      <c r="J189" s="9">
        <v>15.329187432802968</v>
      </c>
      <c r="K189" s="9">
        <v>15.504611902116681</v>
      </c>
      <c r="L189" s="22">
        <v>817.00909027655757</v>
      </c>
      <c r="M189" s="22">
        <v>826.35879564838604</v>
      </c>
      <c r="N189" s="22">
        <v>629.16657111369943</v>
      </c>
    </row>
    <row r="190" spans="2:14" x14ac:dyDescent="0.25">
      <c r="B190" s="37">
        <v>186</v>
      </c>
      <c r="D190" s="9">
        <v>15.082292017363345</v>
      </c>
      <c r="E190" s="9">
        <v>15.702372339496568</v>
      </c>
      <c r="F190" s="9">
        <v>799.6634345671863</v>
      </c>
      <c r="G190" s="9">
        <v>832.54010606603617</v>
      </c>
      <c r="H190" s="9">
        <v>2980.6810671803864</v>
      </c>
      <c r="I190" s="24"/>
      <c r="J190" s="9">
        <v>15.403764820025566</v>
      </c>
      <c r="K190" s="9">
        <v>15.580107684538671</v>
      </c>
      <c r="L190" s="22">
        <v>816.70792921036536</v>
      </c>
      <c r="M190" s="22">
        <v>826.05763153250734</v>
      </c>
      <c r="N190" s="22">
        <v>632.46043141596397</v>
      </c>
    </row>
    <row r="191" spans="2:14" x14ac:dyDescent="0.25">
      <c r="B191" s="37">
        <v>187</v>
      </c>
      <c r="D191" s="9">
        <v>15.158109447940298</v>
      </c>
      <c r="E191" s="9">
        <v>15.78141507370988</v>
      </c>
      <c r="F191" s="9">
        <v>799.51911425041487</v>
      </c>
      <c r="G191" s="9">
        <v>832.39555992684529</v>
      </c>
      <c r="H191" s="9">
        <v>2996.1848674811508</v>
      </c>
      <c r="I191" s="24"/>
      <c r="J191" s="9">
        <v>15.48687835436658</v>
      </c>
      <c r="K191" s="9">
        <v>15.664140648656801</v>
      </c>
      <c r="L191" s="22">
        <v>816.86013067213867</v>
      </c>
      <c r="M191" s="22">
        <v>826.20988454531516</v>
      </c>
      <c r="N191" s="22">
        <v>635.75798822499439</v>
      </c>
    </row>
    <row r="192" spans="2:14" x14ac:dyDescent="0.25">
      <c r="B192" s="37">
        <v>188</v>
      </c>
      <c r="D192" s="9">
        <v>15.234471536160676</v>
      </c>
      <c r="E192" s="9">
        <v>15.861141291420441</v>
      </c>
      <c r="F192" s="9">
        <v>799.4048618226135</v>
      </c>
      <c r="G192" s="9">
        <v>832.28836867237555</v>
      </c>
      <c r="H192" s="9">
        <v>3012.3559935773083</v>
      </c>
      <c r="I192" s="24"/>
      <c r="J192" s="9">
        <v>15.562623183062961</v>
      </c>
      <c r="K192" s="9">
        <v>15.740804168146189</v>
      </c>
      <c r="L192" s="22">
        <v>816.62410184194243</v>
      </c>
      <c r="M192" s="22">
        <v>825.9738679576742</v>
      </c>
      <c r="N192" s="22">
        <v>639.05290467204929</v>
      </c>
    </row>
    <row r="193" spans="2:14" x14ac:dyDescent="0.25">
      <c r="B193" s="37">
        <v>189</v>
      </c>
      <c r="D193" s="9">
        <v>15.310310009832698</v>
      </c>
      <c r="E193" s="9">
        <v>15.940210534313607</v>
      </c>
      <c r="F193" s="9">
        <v>799.26444626893237</v>
      </c>
      <c r="G193" s="9">
        <v>832.14797988650196</v>
      </c>
      <c r="H193" s="9">
        <v>3027.8860665471825</v>
      </c>
      <c r="I193" s="24"/>
      <c r="J193" s="9">
        <v>15.653183487389569</v>
      </c>
      <c r="K193" s="9">
        <v>15.83228587287412</v>
      </c>
      <c r="L193" s="22">
        <v>817.16392577024851</v>
      </c>
      <c r="M193" s="22">
        <v>826.51384545625228</v>
      </c>
      <c r="N193" s="22">
        <v>642.35750244635199</v>
      </c>
    </row>
    <row r="194" spans="2:14" x14ac:dyDescent="0.25">
      <c r="B194" s="37">
        <v>190</v>
      </c>
      <c r="D194" s="9">
        <v>15.387336654602853</v>
      </c>
      <c r="E194" s="9">
        <v>16.020770741702673</v>
      </c>
      <c r="F194" s="9">
        <v>799.18717473308311</v>
      </c>
      <c r="G194" s="9">
        <v>832.08646132258548</v>
      </c>
      <c r="H194" s="9">
        <v>3044.8716453857596</v>
      </c>
      <c r="I194" s="24"/>
      <c r="J194" s="9">
        <v>15.719998449485349</v>
      </c>
      <c r="K194" s="9">
        <v>15.900018737513241</v>
      </c>
      <c r="L194" s="22">
        <v>816.4649561946494</v>
      </c>
      <c r="M194" s="22">
        <v>825.81484621220557</v>
      </c>
      <c r="N194" s="22">
        <v>645.64960250729723</v>
      </c>
    </row>
    <row r="195" spans="2:14" x14ac:dyDescent="0.25">
      <c r="B195" s="37">
        <v>191</v>
      </c>
      <c r="D195" s="9">
        <v>15.463046013135438</v>
      </c>
      <c r="E195" s="9">
        <v>16.099678075947622</v>
      </c>
      <c r="F195" s="9">
        <v>799.04261778967259</v>
      </c>
      <c r="G195" s="9">
        <v>831.94015619227218</v>
      </c>
      <c r="H195" s="9">
        <v>3060.2440823409684</v>
      </c>
      <c r="I195" s="24"/>
      <c r="J195" s="9">
        <v>15.805515818859897</v>
      </c>
      <c r="K195" s="9">
        <v>15.986455044008835</v>
      </c>
      <c r="L195" s="22">
        <v>816.73951721346884</v>
      </c>
      <c r="M195" s="22">
        <v>826.08943132489469</v>
      </c>
      <c r="N195" s="22">
        <v>648.94539907500996</v>
      </c>
    </row>
    <row r="196" spans="2:14" x14ac:dyDescent="0.25">
      <c r="B196" s="37">
        <v>192</v>
      </c>
      <c r="D196" s="9">
        <v>15.539420135548568</v>
      </c>
      <c r="E196" s="9">
        <v>16.179419607201822</v>
      </c>
      <c r="F196" s="9">
        <v>798.9336987577118</v>
      </c>
      <c r="G196" s="9">
        <v>831.83821775718263</v>
      </c>
      <c r="H196" s="9">
        <v>3076.4309720385959</v>
      </c>
      <c r="I196" s="24"/>
      <c r="J196" s="9">
        <v>15.886741405647934</v>
      </c>
      <c r="K196" s="9">
        <v>16.068600306901999</v>
      </c>
      <c r="L196" s="22">
        <v>816.79064995391013</v>
      </c>
      <c r="M196" s="22">
        <v>826.14062590948299</v>
      </c>
      <c r="N196" s="22">
        <v>652.24383600470026</v>
      </c>
    </row>
    <row r="197" spans="2:14" x14ac:dyDescent="0.25">
      <c r="B197" s="37">
        <v>193</v>
      </c>
      <c r="D197" s="9">
        <v>15.615244925186349</v>
      </c>
      <c r="E197" s="9">
        <v>16.258471886709881</v>
      </c>
      <c r="F197" s="9">
        <v>798.79777327411171</v>
      </c>
      <c r="G197" s="9">
        <v>831.70204515947489</v>
      </c>
      <c r="H197" s="9">
        <v>3091.945281407</v>
      </c>
      <c r="I197" s="24"/>
      <c r="J197" s="9">
        <v>15.962524031621941</v>
      </c>
      <c r="K197" s="9">
        <v>16.145301328075405</v>
      </c>
      <c r="L197" s="22">
        <v>816.56283416521148</v>
      </c>
      <c r="M197" s="22">
        <v>825.91280581865624</v>
      </c>
      <c r="N197" s="22">
        <v>655.53769630696343</v>
      </c>
    </row>
    <row r="198" spans="2:14" x14ac:dyDescent="0.25">
      <c r="B198" s="37">
        <v>194</v>
      </c>
      <c r="D198" s="9">
        <v>15.691060936812335</v>
      </c>
      <c r="E198" s="9">
        <v>16.337513201972218</v>
      </c>
      <c r="F198" s="9">
        <v>798.66276025139496</v>
      </c>
      <c r="G198" s="9">
        <v>831.56667621619056</v>
      </c>
      <c r="H198" s="9">
        <v>3107.449081707764</v>
      </c>
      <c r="I198" s="24"/>
      <c r="J198" s="9">
        <v>16.04871322545948</v>
      </c>
      <c r="K198" s="9">
        <v>16.232410444346101</v>
      </c>
      <c r="L198" s="22">
        <v>816.86698271993555</v>
      </c>
      <c r="M198" s="22">
        <v>826.21702784928027</v>
      </c>
      <c r="N198" s="22">
        <v>658.8370133573128</v>
      </c>
    </row>
    <row r="199" spans="2:14" x14ac:dyDescent="0.25">
      <c r="B199" s="37">
        <v>195</v>
      </c>
    </row>
    <row r="200" spans="2:14" x14ac:dyDescent="0.25">
      <c r="B200" s="37">
        <v>196</v>
      </c>
    </row>
    <row r="201" spans="2:14" x14ac:dyDescent="0.25">
      <c r="B201" s="37">
        <v>197</v>
      </c>
    </row>
    <row r="202" spans="2:14" x14ac:dyDescent="0.25">
      <c r="B202" s="37">
        <v>198</v>
      </c>
    </row>
    <row r="203" spans="2:14" x14ac:dyDescent="0.25">
      <c r="B203" s="37">
        <v>199</v>
      </c>
    </row>
    <row r="204" spans="2:14" x14ac:dyDescent="0.25">
      <c r="B204" s="37">
        <v>200</v>
      </c>
    </row>
    <row r="205" spans="2:14" x14ac:dyDescent="0.25">
      <c r="B205" s="37">
        <v>201</v>
      </c>
    </row>
    <row r="206" spans="2:14" x14ac:dyDescent="0.25">
      <c r="B206" s="37">
        <v>202</v>
      </c>
    </row>
    <row r="207" spans="2:14" x14ac:dyDescent="0.25">
      <c r="B207" s="37">
        <v>203</v>
      </c>
    </row>
    <row r="208" spans="2:14" x14ac:dyDescent="0.25">
      <c r="B208" s="37">
        <v>204</v>
      </c>
    </row>
    <row r="209" spans="2:2" x14ac:dyDescent="0.25">
      <c r="B209" s="37">
        <v>205</v>
      </c>
    </row>
    <row r="210" spans="2:2" x14ac:dyDescent="0.25">
      <c r="B210" s="37">
        <v>206</v>
      </c>
    </row>
    <row r="211" spans="2:2" x14ac:dyDescent="0.25">
      <c r="B211" s="37">
        <v>207</v>
      </c>
    </row>
    <row r="212" spans="2:2" x14ac:dyDescent="0.25">
      <c r="B212" s="37">
        <v>208</v>
      </c>
    </row>
    <row r="213" spans="2:2" x14ac:dyDescent="0.25">
      <c r="B213" s="37">
        <v>209</v>
      </c>
    </row>
    <row r="214" spans="2:2" x14ac:dyDescent="0.25">
      <c r="B214" s="37">
        <v>210</v>
      </c>
    </row>
    <row r="215" spans="2:2" x14ac:dyDescent="0.25">
      <c r="B215" s="37">
        <v>211</v>
      </c>
    </row>
    <row r="216" spans="2:2" x14ac:dyDescent="0.25">
      <c r="B216" s="37">
        <v>212</v>
      </c>
    </row>
    <row r="217" spans="2:2" x14ac:dyDescent="0.25">
      <c r="B217" s="37">
        <v>213</v>
      </c>
    </row>
    <row r="218" spans="2:2" x14ac:dyDescent="0.25">
      <c r="B218" s="37">
        <v>214</v>
      </c>
    </row>
    <row r="219" spans="2:2" x14ac:dyDescent="0.25">
      <c r="B219" s="37">
        <v>215</v>
      </c>
    </row>
    <row r="220" spans="2:2" x14ac:dyDescent="0.25">
      <c r="B220" s="37">
        <v>216</v>
      </c>
    </row>
    <row r="221" spans="2:2" x14ac:dyDescent="0.25">
      <c r="B221" s="37">
        <v>217</v>
      </c>
    </row>
    <row r="222" spans="2:2" x14ac:dyDescent="0.25">
      <c r="B222" s="37">
        <v>218</v>
      </c>
    </row>
    <row r="223" spans="2:2" x14ac:dyDescent="0.25">
      <c r="B223" s="37">
        <v>219</v>
      </c>
    </row>
    <row r="224" spans="2:2" x14ac:dyDescent="0.25">
      <c r="B224" s="37">
        <v>220</v>
      </c>
    </row>
    <row r="225" spans="2:2" x14ac:dyDescent="0.25">
      <c r="B225" s="37">
        <v>221</v>
      </c>
    </row>
    <row r="226" spans="2:2" x14ac:dyDescent="0.25">
      <c r="B226" s="37">
        <v>222</v>
      </c>
    </row>
    <row r="227" spans="2:2" x14ac:dyDescent="0.25">
      <c r="B227" s="37">
        <v>223</v>
      </c>
    </row>
    <row r="228" spans="2:2" x14ac:dyDescent="0.25">
      <c r="B228" s="37">
        <v>224</v>
      </c>
    </row>
    <row r="229" spans="2:2" x14ac:dyDescent="0.25">
      <c r="B229" s="37">
        <v>225</v>
      </c>
    </row>
    <row r="230" spans="2:2" x14ac:dyDescent="0.25">
      <c r="B230" s="37">
        <v>226</v>
      </c>
    </row>
    <row r="231" spans="2:2" x14ac:dyDescent="0.25">
      <c r="B231" s="37">
        <v>227</v>
      </c>
    </row>
    <row r="232" spans="2:2" x14ac:dyDescent="0.25">
      <c r="B232" s="37">
        <v>228</v>
      </c>
    </row>
    <row r="233" spans="2:2" x14ac:dyDescent="0.25">
      <c r="B233" s="37">
        <v>229</v>
      </c>
    </row>
    <row r="234" spans="2:2" x14ac:dyDescent="0.25">
      <c r="B234" s="37">
        <v>230</v>
      </c>
    </row>
    <row r="235" spans="2:2" x14ac:dyDescent="0.25">
      <c r="B235" s="37">
        <v>231</v>
      </c>
    </row>
    <row r="236" spans="2:2" x14ac:dyDescent="0.25">
      <c r="B236" s="37">
        <v>232</v>
      </c>
    </row>
    <row r="237" spans="2:2" x14ac:dyDescent="0.25">
      <c r="B237" s="37">
        <v>233</v>
      </c>
    </row>
    <row r="238" spans="2:2" x14ac:dyDescent="0.25">
      <c r="B238" s="37">
        <v>234</v>
      </c>
    </row>
    <row r="239" spans="2:2" x14ac:dyDescent="0.25">
      <c r="B239" s="37">
        <v>235</v>
      </c>
    </row>
    <row r="240" spans="2:2" x14ac:dyDescent="0.25">
      <c r="B240" s="37">
        <v>236</v>
      </c>
    </row>
    <row r="241" spans="2:2" x14ac:dyDescent="0.25">
      <c r="B241" s="37">
        <v>237</v>
      </c>
    </row>
    <row r="242" spans="2:2" x14ac:dyDescent="0.25">
      <c r="B242" s="37">
        <v>238</v>
      </c>
    </row>
    <row r="243" spans="2:2" x14ac:dyDescent="0.25">
      <c r="B243" s="37">
        <v>239</v>
      </c>
    </row>
    <row r="244" spans="2:2" x14ac:dyDescent="0.25">
      <c r="B244" s="37">
        <v>240</v>
      </c>
    </row>
    <row r="245" spans="2:2" x14ac:dyDescent="0.25">
      <c r="B245" s="37">
        <v>241</v>
      </c>
    </row>
    <row r="246" spans="2:2" x14ac:dyDescent="0.25">
      <c r="B246" s="37">
        <v>242</v>
      </c>
    </row>
    <row r="247" spans="2:2" x14ac:dyDescent="0.25">
      <c r="B247" s="37">
        <v>243</v>
      </c>
    </row>
    <row r="248" spans="2:2" x14ac:dyDescent="0.25">
      <c r="B248" s="37">
        <v>244</v>
      </c>
    </row>
    <row r="249" spans="2:2" x14ac:dyDescent="0.25">
      <c r="B249" s="37">
        <v>245</v>
      </c>
    </row>
    <row r="250" spans="2:2" x14ac:dyDescent="0.25">
      <c r="B250" s="37">
        <v>246</v>
      </c>
    </row>
    <row r="251" spans="2:2" x14ac:dyDescent="0.25">
      <c r="B251" s="37">
        <v>247</v>
      </c>
    </row>
    <row r="252" spans="2:2" x14ac:dyDescent="0.25">
      <c r="B252" s="37">
        <v>248</v>
      </c>
    </row>
    <row r="253" spans="2:2" x14ac:dyDescent="0.25">
      <c r="B253" s="37">
        <v>249</v>
      </c>
    </row>
    <row r="254" spans="2:2" x14ac:dyDescent="0.25">
      <c r="B254" s="37">
        <v>250</v>
      </c>
    </row>
    <row r="255" spans="2:2" x14ac:dyDescent="0.25">
      <c r="B255" s="37">
        <v>251</v>
      </c>
    </row>
    <row r="256" spans="2:2" x14ac:dyDescent="0.25">
      <c r="B256" s="37">
        <v>252</v>
      </c>
    </row>
    <row r="257" spans="2:2" x14ac:dyDescent="0.25">
      <c r="B257" s="37">
        <v>253</v>
      </c>
    </row>
    <row r="258" spans="2:2" x14ac:dyDescent="0.25">
      <c r="B258" s="37">
        <v>254</v>
      </c>
    </row>
    <row r="259" spans="2:2" x14ac:dyDescent="0.25">
      <c r="B259" s="37">
        <v>255</v>
      </c>
    </row>
    <row r="260" spans="2:2" x14ac:dyDescent="0.25">
      <c r="B260" s="37">
        <v>256</v>
      </c>
    </row>
    <row r="261" spans="2:2" x14ac:dyDescent="0.25">
      <c r="B261" s="37">
        <v>257</v>
      </c>
    </row>
    <row r="262" spans="2:2" x14ac:dyDescent="0.25">
      <c r="B262" s="37">
        <v>258</v>
      </c>
    </row>
    <row r="263" spans="2:2" x14ac:dyDescent="0.25">
      <c r="B263" s="37">
        <v>259</v>
      </c>
    </row>
    <row r="264" spans="2:2" x14ac:dyDescent="0.25">
      <c r="B264" s="37">
        <v>260</v>
      </c>
    </row>
    <row r="265" spans="2:2" x14ac:dyDescent="0.25">
      <c r="B265" s="37">
        <v>261</v>
      </c>
    </row>
    <row r="266" spans="2:2" x14ac:dyDescent="0.25">
      <c r="B266" s="37">
        <v>262</v>
      </c>
    </row>
    <row r="267" spans="2:2" x14ac:dyDescent="0.25">
      <c r="B267" s="37">
        <v>263</v>
      </c>
    </row>
    <row r="268" spans="2:2" x14ac:dyDescent="0.25">
      <c r="B268" s="37">
        <v>264</v>
      </c>
    </row>
    <row r="269" spans="2:2" x14ac:dyDescent="0.25">
      <c r="B269" s="37">
        <v>265</v>
      </c>
    </row>
    <row r="270" spans="2:2" x14ac:dyDescent="0.25">
      <c r="B270" s="37">
        <v>266</v>
      </c>
    </row>
    <row r="271" spans="2:2" x14ac:dyDescent="0.25">
      <c r="B271" s="37">
        <v>267</v>
      </c>
    </row>
    <row r="272" spans="2:2" x14ac:dyDescent="0.25">
      <c r="B272" s="37">
        <v>268</v>
      </c>
    </row>
    <row r="273" spans="2:2" x14ac:dyDescent="0.25">
      <c r="B273" s="37">
        <v>269</v>
      </c>
    </row>
    <row r="274" spans="2:2" x14ac:dyDescent="0.25">
      <c r="B274" s="37">
        <v>270</v>
      </c>
    </row>
    <row r="275" spans="2:2" x14ac:dyDescent="0.25">
      <c r="B275" s="37">
        <v>271</v>
      </c>
    </row>
    <row r="276" spans="2:2" x14ac:dyDescent="0.25">
      <c r="B276" s="37">
        <v>272</v>
      </c>
    </row>
    <row r="277" spans="2:2" x14ac:dyDescent="0.25">
      <c r="B277" s="37">
        <v>273</v>
      </c>
    </row>
    <row r="278" spans="2:2" x14ac:dyDescent="0.25">
      <c r="B278" s="37">
        <v>274</v>
      </c>
    </row>
    <row r="279" spans="2:2" x14ac:dyDescent="0.25">
      <c r="B279" s="37">
        <v>275</v>
      </c>
    </row>
    <row r="280" spans="2:2" x14ac:dyDescent="0.25">
      <c r="B280" s="37">
        <v>276</v>
      </c>
    </row>
    <row r="281" spans="2:2" x14ac:dyDescent="0.25">
      <c r="B281" s="37">
        <v>277</v>
      </c>
    </row>
    <row r="282" spans="2:2" x14ac:dyDescent="0.25">
      <c r="B282" s="37">
        <v>278</v>
      </c>
    </row>
    <row r="283" spans="2:2" x14ac:dyDescent="0.25">
      <c r="B283" s="37">
        <v>279</v>
      </c>
    </row>
    <row r="284" spans="2:2" x14ac:dyDescent="0.25">
      <c r="B284" s="37">
        <v>280</v>
      </c>
    </row>
    <row r="285" spans="2:2" x14ac:dyDescent="0.25">
      <c r="B285" s="37">
        <v>281</v>
      </c>
    </row>
    <row r="286" spans="2:2" x14ac:dyDescent="0.25">
      <c r="B286" s="37">
        <v>282</v>
      </c>
    </row>
    <row r="287" spans="2:2" x14ac:dyDescent="0.25">
      <c r="B287" s="37">
        <v>283</v>
      </c>
    </row>
    <row r="288" spans="2:2" x14ac:dyDescent="0.25">
      <c r="B288" s="37">
        <v>284</v>
      </c>
    </row>
    <row r="289" spans="2:2" x14ac:dyDescent="0.25">
      <c r="B289" s="37">
        <v>285</v>
      </c>
    </row>
    <row r="290" spans="2:2" x14ac:dyDescent="0.25">
      <c r="B290" s="37">
        <v>286</v>
      </c>
    </row>
    <row r="291" spans="2:2" x14ac:dyDescent="0.25">
      <c r="B291" s="37">
        <v>287</v>
      </c>
    </row>
    <row r="292" spans="2:2" x14ac:dyDescent="0.25">
      <c r="B292" s="37">
        <v>288</v>
      </c>
    </row>
    <row r="293" spans="2:2" x14ac:dyDescent="0.25">
      <c r="B293" s="37">
        <v>289</v>
      </c>
    </row>
    <row r="294" spans="2:2" x14ac:dyDescent="0.25">
      <c r="B294" s="37">
        <v>290</v>
      </c>
    </row>
    <row r="295" spans="2:2" x14ac:dyDescent="0.25">
      <c r="B295" s="37">
        <v>291</v>
      </c>
    </row>
    <row r="296" spans="2:2" x14ac:dyDescent="0.25">
      <c r="B296" s="37">
        <v>292</v>
      </c>
    </row>
    <row r="297" spans="2:2" x14ac:dyDescent="0.25">
      <c r="B297" s="37">
        <v>293</v>
      </c>
    </row>
    <row r="298" spans="2:2" x14ac:dyDescent="0.25">
      <c r="B298" s="37">
        <v>294</v>
      </c>
    </row>
    <row r="299" spans="2:2" x14ac:dyDescent="0.25">
      <c r="B299" s="37">
        <v>295</v>
      </c>
    </row>
    <row r="300" spans="2:2" x14ac:dyDescent="0.25">
      <c r="B300" s="37">
        <v>296</v>
      </c>
    </row>
    <row r="301" spans="2:2" x14ac:dyDescent="0.25">
      <c r="B301" s="37">
        <v>297</v>
      </c>
    </row>
    <row r="302" spans="2:2" x14ac:dyDescent="0.25">
      <c r="B302" s="37">
        <v>298</v>
      </c>
    </row>
    <row r="303" spans="2:2" x14ac:dyDescent="0.25">
      <c r="B303" s="37">
        <v>299</v>
      </c>
    </row>
    <row r="304" spans="2:2" x14ac:dyDescent="0.25">
      <c r="B304" s="37">
        <v>300</v>
      </c>
    </row>
    <row r="305" spans="2:2" x14ac:dyDescent="0.25">
      <c r="B305" s="37">
        <v>301</v>
      </c>
    </row>
    <row r="306" spans="2:2" x14ac:dyDescent="0.25">
      <c r="B306" s="37">
        <v>302</v>
      </c>
    </row>
    <row r="307" spans="2:2" x14ac:dyDescent="0.25">
      <c r="B307" s="37">
        <v>303</v>
      </c>
    </row>
    <row r="308" spans="2:2" x14ac:dyDescent="0.25">
      <c r="B308" s="37">
        <v>304</v>
      </c>
    </row>
    <row r="309" spans="2:2" x14ac:dyDescent="0.25">
      <c r="B309" s="37">
        <v>305</v>
      </c>
    </row>
    <row r="310" spans="2:2" x14ac:dyDescent="0.25">
      <c r="B310" s="37">
        <v>306</v>
      </c>
    </row>
    <row r="311" spans="2:2" x14ac:dyDescent="0.25">
      <c r="B311" s="37">
        <v>307</v>
      </c>
    </row>
    <row r="312" spans="2:2" x14ac:dyDescent="0.25">
      <c r="B312" s="37">
        <v>308</v>
      </c>
    </row>
    <row r="313" spans="2:2" x14ac:dyDescent="0.25">
      <c r="B313" s="37">
        <v>309</v>
      </c>
    </row>
    <row r="314" spans="2:2" x14ac:dyDescent="0.25">
      <c r="B314" s="37">
        <v>310</v>
      </c>
    </row>
    <row r="315" spans="2:2" x14ac:dyDescent="0.25">
      <c r="B315" s="37">
        <v>311</v>
      </c>
    </row>
    <row r="316" spans="2:2" x14ac:dyDescent="0.25">
      <c r="B316" s="37">
        <v>312</v>
      </c>
    </row>
    <row r="317" spans="2:2" x14ac:dyDescent="0.25">
      <c r="B317" s="37">
        <v>313</v>
      </c>
    </row>
    <row r="318" spans="2:2" x14ac:dyDescent="0.25">
      <c r="B318" s="37">
        <v>314</v>
      </c>
    </row>
    <row r="319" spans="2:2" x14ac:dyDescent="0.25">
      <c r="B319" s="37">
        <v>315</v>
      </c>
    </row>
    <row r="320" spans="2:2" x14ac:dyDescent="0.25">
      <c r="B320" s="37">
        <v>316</v>
      </c>
    </row>
    <row r="321" spans="2:2" x14ac:dyDescent="0.25">
      <c r="B321" s="37">
        <v>317</v>
      </c>
    </row>
    <row r="322" spans="2:2" x14ac:dyDescent="0.25">
      <c r="B322" s="37">
        <v>318</v>
      </c>
    </row>
    <row r="323" spans="2:2" x14ac:dyDescent="0.25">
      <c r="B323" s="37">
        <v>319</v>
      </c>
    </row>
    <row r="324" spans="2:2" x14ac:dyDescent="0.25">
      <c r="B324" s="37">
        <v>320</v>
      </c>
    </row>
    <row r="325" spans="2:2" x14ac:dyDescent="0.25">
      <c r="B325" s="37">
        <v>321</v>
      </c>
    </row>
    <row r="326" spans="2:2" x14ac:dyDescent="0.25">
      <c r="B326" s="37">
        <v>322</v>
      </c>
    </row>
    <row r="327" spans="2:2" x14ac:dyDescent="0.25">
      <c r="B327" s="37">
        <v>323</v>
      </c>
    </row>
    <row r="328" spans="2:2" x14ac:dyDescent="0.25">
      <c r="B328" s="37">
        <v>324</v>
      </c>
    </row>
    <row r="329" spans="2:2" x14ac:dyDescent="0.25">
      <c r="B329" s="37">
        <v>325</v>
      </c>
    </row>
    <row r="330" spans="2:2" x14ac:dyDescent="0.25">
      <c r="B330" s="37">
        <v>326</v>
      </c>
    </row>
    <row r="331" spans="2:2" x14ac:dyDescent="0.25">
      <c r="B331" s="37">
        <v>327</v>
      </c>
    </row>
    <row r="332" spans="2:2" x14ac:dyDescent="0.25">
      <c r="B332" s="37">
        <v>328</v>
      </c>
    </row>
    <row r="333" spans="2:2" x14ac:dyDescent="0.25">
      <c r="B333" s="37">
        <v>329</v>
      </c>
    </row>
    <row r="334" spans="2:2" x14ac:dyDescent="0.25">
      <c r="B334" s="37">
        <v>330</v>
      </c>
    </row>
    <row r="335" spans="2:2" x14ac:dyDescent="0.25">
      <c r="B335" s="37">
        <v>331</v>
      </c>
    </row>
    <row r="336" spans="2:2" x14ac:dyDescent="0.25">
      <c r="B336" s="37">
        <v>332</v>
      </c>
    </row>
    <row r="337" spans="2:2" x14ac:dyDescent="0.25">
      <c r="B337" s="37">
        <v>333</v>
      </c>
    </row>
    <row r="338" spans="2:2" x14ac:dyDescent="0.25">
      <c r="B338" s="37">
        <v>334</v>
      </c>
    </row>
    <row r="339" spans="2:2" x14ac:dyDescent="0.25">
      <c r="B339" s="37">
        <v>335</v>
      </c>
    </row>
    <row r="340" spans="2:2" x14ac:dyDescent="0.25">
      <c r="B340" s="37">
        <v>336</v>
      </c>
    </row>
    <row r="341" spans="2:2" x14ac:dyDescent="0.25">
      <c r="B341" s="37">
        <v>337</v>
      </c>
    </row>
    <row r="342" spans="2:2" x14ac:dyDescent="0.25">
      <c r="B342" s="37">
        <v>338</v>
      </c>
    </row>
    <row r="343" spans="2:2" x14ac:dyDescent="0.25">
      <c r="B343" s="37">
        <v>339</v>
      </c>
    </row>
    <row r="344" spans="2:2" x14ac:dyDescent="0.25">
      <c r="B344" s="37">
        <v>340</v>
      </c>
    </row>
    <row r="345" spans="2:2" x14ac:dyDescent="0.25">
      <c r="B345" s="37">
        <v>341</v>
      </c>
    </row>
    <row r="346" spans="2:2" x14ac:dyDescent="0.25">
      <c r="B346" s="37">
        <v>342</v>
      </c>
    </row>
    <row r="347" spans="2:2" x14ac:dyDescent="0.25">
      <c r="B347" s="37">
        <v>343</v>
      </c>
    </row>
    <row r="348" spans="2:2" x14ac:dyDescent="0.25">
      <c r="B348" s="37">
        <v>344</v>
      </c>
    </row>
    <row r="349" spans="2:2" x14ac:dyDescent="0.25">
      <c r="B349" s="37">
        <v>345</v>
      </c>
    </row>
    <row r="350" spans="2:2" x14ac:dyDescent="0.25">
      <c r="B350" s="37">
        <v>346</v>
      </c>
    </row>
    <row r="351" spans="2:2" x14ac:dyDescent="0.25">
      <c r="B351" s="37">
        <v>347</v>
      </c>
    </row>
    <row r="352" spans="2:2" x14ac:dyDescent="0.25">
      <c r="B352" s="37">
        <v>348</v>
      </c>
    </row>
    <row r="353" spans="2:2" x14ac:dyDescent="0.25">
      <c r="B353" s="37">
        <v>349</v>
      </c>
    </row>
    <row r="354" spans="2:2" x14ac:dyDescent="0.25">
      <c r="B354" s="37">
        <v>350</v>
      </c>
    </row>
  </sheetData>
  <mergeCells count="2">
    <mergeCell ref="R25:T25"/>
    <mergeCell ref="R34:T34"/>
  </mergeCells>
  <conditionalFormatting sqref="E8:E198">
    <cfRule type="cellIs" dxfId="2" priority="3" operator="greaterThan">
      <formula>K8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123347-540C-4F72-8C72-B13897436AB5}">
  <sheetPr codeName="Sheet9">
    <tabColor theme="6" tint="0.39997558519241921"/>
  </sheetPr>
  <dimension ref="A1:AF354"/>
  <sheetViews>
    <sheetView topLeftCell="Q1" zoomScale="70" zoomScaleNormal="70" workbookViewId="0">
      <selection activeCell="T7" sqref="T7:T11"/>
    </sheetView>
  </sheetViews>
  <sheetFormatPr defaultColWidth="9.140625" defaultRowHeight="15" x14ac:dyDescent="0.25"/>
  <cols>
    <col min="1" max="1" width="3.28515625" style="10" customWidth="1"/>
    <col min="2" max="2" width="12.85546875" style="10" customWidth="1"/>
    <col min="3" max="3" width="2.85546875" style="10" customWidth="1"/>
    <col min="4" max="8" width="18.5703125" style="10" customWidth="1"/>
    <col min="9" max="9" width="4.42578125" style="10" customWidth="1"/>
    <col min="10" max="14" width="18.5703125" style="10" customWidth="1"/>
    <col min="15" max="15" width="4.140625" style="10" customWidth="1"/>
    <col min="16" max="16" width="20.140625" style="10" customWidth="1"/>
    <col min="17" max="17" width="33.7109375" style="10" customWidth="1"/>
    <col min="18" max="18" width="17.85546875" style="10" bestFit="1" customWidth="1"/>
    <col min="19" max="21" width="20.140625" style="10" bestFit="1" customWidth="1"/>
    <col min="22" max="29" width="21.7109375" style="10" bestFit="1" customWidth="1"/>
    <col min="30" max="16384" width="9.140625" style="10"/>
  </cols>
  <sheetData>
    <row r="1" spans="1:29" x14ac:dyDescent="0.25">
      <c r="A1"/>
      <c r="B1"/>
      <c r="C1"/>
      <c r="D1"/>
      <c r="E1"/>
      <c r="F1"/>
    </row>
    <row r="2" spans="1:29" x14ac:dyDescent="0.25">
      <c r="A2"/>
      <c r="B2"/>
      <c r="C2"/>
      <c r="D2"/>
      <c r="E2"/>
      <c r="F2"/>
    </row>
    <row r="3" spans="1:29" x14ac:dyDescent="0.25">
      <c r="A3"/>
      <c r="B3"/>
      <c r="C3"/>
      <c r="D3"/>
      <c r="E3"/>
      <c r="F3"/>
    </row>
    <row r="4" spans="1:29" ht="15.75" thickBot="1" x14ac:dyDescent="0.3">
      <c r="A4"/>
      <c r="B4"/>
      <c r="C4"/>
      <c r="D4"/>
      <c r="E4"/>
      <c r="F4"/>
    </row>
    <row r="5" spans="1:29" ht="30.75" customHeight="1" thickBot="1" x14ac:dyDescent="0.3">
      <c r="B5" s="3" t="s">
        <v>41</v>
      </c>
      <c r="D5" s="3" t="s">
        <v>6</v>
      </c>
      <c r="E5" s="4"/>
      <c r="F5" s="4"/>
      <c r="G5" s="4"/>
      <c r="H5" s="4"/>
      <c r="J5" s="3" t="s">
        <v>44</v>
      </c>
      <c r="K5" s="4"/>
      <c r="L5" s="4"/>
      <c r="M5" s="4"/>
      <c r="N5" s="4"/>
      <c r="P5" s="3" t="s">
        <v>41</v>
      </c>
      <c r="Q5" s="3" t="s">
        <v>41</v>
      </c>
      <c r="R5" s="44" t="s">
        <v>36</v>
      </c>
      <c r="S5" s="45"/>
      <c r="T5" s="45"/>
      <c r="U5" s="45"/>
      <c r="V5" s="45"/>
      <c r="W5" s="45"/>
      <c r="X5" s="45"/>
      <c r="Y5" s="45"/>
      <c r="Z5" s="45"/>
      <c r="AA5" s="45"/>
      <c r="AB5" s="45"/>
      <c r="AC5" s="45"/>
    </row>
    <row r="6" spans="1:29" ht="45.75" thickBot="1" x14ac:dyDescent="0.3">
      <c r="B6" s="1" t="s">
        <v>4</v>
      </c>
      <c r="D6" s="1" t="s">
        <v>31</v>
      </c>
      <c r="E6" s="1" t="s">
        <v>32</v>
      </c>
      <c r="F6" s="1" t="s">
        <v>33</v>
      </c>
      <c r="G6" s="1" t="s">
        <v>34</v>
      </c>
      <c r="H6" s="1" t="s">
        <v>0</v>
      </c>
      <c r="J6" s="1" t="s">
        <v>31</v>
      </c>
      <c r="K6" s="1" t="s">
        <v>32</v>
      </c>
      <c r="L6" s="1" t="s">
        <v>33</v>
      </c>
      <c r="M6" s="1" t="s">
        <v>34</v>
      </c>
      <c r="N6" s="1" t="s">
        <v>0</v>
      </c>
      <c r="P6" s="1" t="s">
        <v>40</v>
      </c>
      <c r="Q6" s="1" t="s">
        <v>35</v>
      </c>
      <c r="R6" s="38">
        <v>1</v>
      </c>
      <c r="S6" s="38">
        <v>3</v>
      </c>
      <c r="T6" s="38">
        <v>5</v>
      </c>
      <c r="U6" s="38">
        <v>8</v>
      </c>
      <c r="V6" s="38">
        <v>10</v>
      </c>
      <c r="W6" s="38">
        <v>13</v>
      </c>
      <c r="X6" s="38">
        <v>16</v>
      </c>
      <c r="Y6" s="38">
        <v>20</v>
      </c>
      <c r="Z6" s="38">
        <v>25</v>
      </c>
      <c r="AA6" s="38">
        <v>30</v>
      </c>
      <c r="AB6" s="38">
        <v>35</v>
      </c>
      <c r="AC6" s="38">
        <v>40</v>
      </c>
    </row>
    <row r="7" spans="1:29" x14ac:dyDescent="0.25">
      <c r="B7" s="17"/>
      <c r="D7" s="18" t="s">
        <v>1</v>
      </c>
      <c r="E7" s="18" t="s">
        <v>1</v>
      </c>
      <c r="F7" s="18" t="s">
        <v>2</v>
      </c>
      <c r="G7" s="18" t="s">
        <v>2</v>
      </c>
      <c r="H7" s="18" t="s">
        <v>3</v>
      </c>
      <c r="J7" s="18" t="s">
        <v>1</v>
      </c>
      <c r="K7" s="18" t="s">
        <v>1</v>
      </c>
      <c r="L7" s="18" t="s">
        <v>2</v>
      </c>
      <c r="M7" s="18" t="s">
        <v>2</v>
      </c>
      <c r="N7" s="18" t="s">
        <v>3</v>
      </c>
      <c r="P7" s="42">
        <v>1</v>
      </c>
      <c r="Q7" s="39">
        <v>75</v>
      </c>
      <c r="R7" s="39"/>
      <c r="S7" s="39">
        <v>50</v>
      </c>
      <c r="T7" s="39">
        <v>19</v>
      </c>
      <c r="U7" s="39">
        <v>10</v>
      </c>
      <c r="V7" s="26">
        <v>8</v>
      </c>
      <c r="W7" s="26">
        <v>6</v>
      </c>
      <c r="X7" s="26">
        <v>5</v>
      </c>
      <c r="Y7" s="26">
        <v>4</v>
      </c>
      <c r="Z7" s="26">
        <v>4</v>
      </c>
      <c r="AA7" s="26">
        <v>4</v>
      </c>
      <c r="AB7" s="26">
        <v>4</v>
      </c>
      <c r="AC7" s="26">
        <v>4</v>
      </c>
    </row>
    <row r="8" spans="1:29" x14ac:dyDescent="0.25">
      <c r="B8" s="37">
        <v>4</v>
      </c>
      <c r="C8" s="24"/>
      <c r="D8" s="9">
        <v>2.914709217808007</v>
      </c>
      <c r="E8" s="9">
        <v>3.2233152459785779</v>
      </c>
      <c r="F8" s="9">
        <v>185.44553158315932</v>
      </c>
      <c r="G8" s="9">
        <v>205.080289175513</v>
      </c>
      <c r="H8" s="9">
        <v>1467.8506022660195</v>
      </c>
      <c r="I8" s="24"/>
      <c r="J8" s="9">
        <v>2.686976579014476</v>
      </c>
      <c r="K8" s="9">
        <v>2.8578546051187956</v>
      </c>
      <c r="L8" s="22">
        <v>170.95626452287181</v>
      </c>
      <c r="M8" s="22">
        <v>181.8282122949476</v>
      </c>
      <c r="N8" s="22">
        <v>612.91413316992509</v>
      </c>
      <c r="O8" s="21"/>
      <c r="P8" s="42">
        <v>2</v>
      </c>
      <c r="Q8" s="39">
        <v>50</v>
      </c>
      <c r="R8" s="39"/>
      <c r="S8" s="39">
        <v>63</v>
      </c>
      <c r="T8" s="39">
        <v>21</v>
      </c>
      <c r="U8" s="39">
        <v>11</v>
      </c>
      <c r="V8" s="26">
        <v>8</v>
      </c>
      <c r="W8" s="26">
        <v>6</v>
      </c>
      <c r="X8" s="26">
        <v>5</v>
      </c>
      <c r="Y8" s="26">
        <v>4</v>
      </c>
      <c r="Z8" s="26">
        <v>4</v>
      </c>
      <c r="AA8" s="26">
        <v>4</v>
      </c>
      <c r="AB8" s="26">
        <v>4</v>
      </c>
      <c r="AC8" s="26">
        <v>4</v>
      </c>
    </row>
    <row r="9" spans="1:29" x14ac:dyDescent="0.25">
      <c r="B9" s="37">
        <v>5</v>
      </c>
      <c r="C9" s="24"/>
      <c r="D9" s="9">
        <v>3.4199208779938783</v>
      </c>
      <c r="E9" s="9">
        <v>3.8056767035104966</v>
      </c>
      <c r="F9" s="9">
        <v>174.07130462746431</v>
      </c>
      <c r="G9" s="9">
        <v>193.70597519759508</v>
      </c>
      <c r="H9" s="9">
        <v>1834.805120848861</v>
      </c>
      <c r="I9" s="24"/>
      <c r="J9" s="9">
        <v>3.3613873970641746</v>
      </c>
      <c r="K9" s="9">
        <v>3.5749864076627338</v>
      </c>
      <c r="L9" s="22">
        <v>171.09199611322839</v>
      </c>
      <c r="M9" s="22">
        <v>181.96401911273045</v>
      </c>
      <c r="N9" s="22">
        <v>766.14794718636028</v>
      </c>
      <c r="O9" s="21"/>
      <c r="P9" s="42">
        <v>3</v>
      </c>
      <c r="Q9" s="39">
        <v>35</v>
      </c>
      <c r="R9" s="39"/>
      <c r="S9" s="39">
        <v>106</v>
      </c>
      <c r="T9" s="39">
        <v>24</v>
      </c>
      <c r="U9" s="39">
        <v>11</v>
      </c>
      <c r="V9" s="26">
        <v>8</v>
      </c>
      <c r="W9" s="26">
        <v>6</v>
      </c>
      <c r="X9" s="26">
        <v>5</v>
      </c>
      <c r="Y9" s="26">
        <v>4</v>
      </c>
      <c r="Z9" s="26">
        <v>4</v>
      </c>
      <c r="AA9" s="26">
        <v>4</v>
      </c>
      <c r="AB9" s="26">
        <v>4</v>
      </c>
      <c r="AC9" s="26">
        <v>4</v>
      </c>
    </row>
    <row r="10" spans="1:29" x14ac:dyDescent="0.25">
      <c r="B10" s="37">
        <v>6</v>
      </c>
      <c r="C10" s="24"/>
      <c r="D10" s="9">
        <v>3.9254764624463698</v>
      </c>
      <c r="E10" s="9">
        <v>4.3885097426549446</v>
      </c>
      <c r="F10" s="9">
        <v>166.5030745543821</v>
      </c>
      <c r="G10" s="9">
        <v>186.14310182579302</v>
      </c>
      <c r="H10" s="9">
        <v>2202.3668275452892</v>
      </c>
      <c r="I10" s="24"/>
      <c r="J10" s="9">
        <v>4.031019446867024</v>
      </c>
      <c r="K10" s="9">
        <v>4.2873393926942178</v>
      </c>
      <c r="L10" s="22">
        <v>170.97978752713865</v>
      </c>
      <c r="M10" s="22">
        <v>181.85185858860754</v>
      </c>
      <c r="N10" s="22">
        <v>919.38158517866179</v>
      </c>
      <c r="O10" s="21"/>
      <c r="P10" s="43"/>
      <c r="Q10" s="39">
        <v>25</v>
      </c>
      <c r="R10" s="39"/>
      <c r="S10" s="39">
        <v>906</v>
      </c>
      <c r="T10" s="39">
        <v>29</v>
      </c>
      <c r="U10" s="39">
        <v>12</v>
      </c>
      <c r="V10" s="26">
        <v>9</v>
      </c>
      <c r="W10" s="26">
        <v>6</v>
      </c>
      <c r="X10" s="26">
        <v>5</v>
      </c>
      <c r="Y10" s="26">
        <v>4</v>
      </c>
      <c r="Z10" s="26">
        <v>4</v>
      </c>
      <c r="AA10" s="26">
        <v>4</v>
      </c>
      <c r="AB10" s="26">
        <v>4</v>
      </c>
      <c r="AC10" s="26">
        <v>4</v>
      </c>
    </row>
    <row r="11" spans="1:29" ht="15.75" thickBot="1" x14ac:dyDescent="0.3">
      <c r="B11" s="37">
        <v>7</v>
      </c>
      <c r="C11" s="21"/>
      <c r="D11" s="9">
        <v>4.431390932224021</v>
      </c>
      <c r="E11" s="9">
        <v>4.9718247652795542</v>
      </c>
      <c r="F11" s="9">
        <v>161.11024377579835</v>
      </c>
      <c r="G11" s="9">
        <v>180.75857269101951</v>
      </c>
      <c r="H11" s="9">
        <v>2570.5140370655386</v>
      </c>
      <c r="I11" s="24"/>
      <c r="J11" s="9">
        <v>4.6906618553854864</v>
      </c>
      <c r="K11" s="9">
        <v>4.9897003224266516</v>
      </c>
      <c r="L11" s="22">
        <v>170.53644928855726</v>
      </c>
      <c r="M11" s="22">
        <v>181.40846691467169</v>
      </c>
      <c r="N11" s="22">
        <v>1072.6065979885068</v>
      </c>
      <c r="O11" s="21"/>
      <c r="P11" s="43"/>
      <c r="Q11" s="39">
        <v>10</v>
      </c>
      <c r="R11" s="39"/>
      <c r="S11" s="39"/>
      <c r="T11" s="39">
        <v>143</v>
      </c>
      <c r="U11" s="39">
        <v>18</v>
      </c>
      <c r="V11" s="26">
        <v>12</v>
      </c>
      <c r="W11" s="26">
        <v>8</v>
      </c>
      <c r="X11" s="26">
        <v>6</v>
      </c>
      <c r="Y11" s="26">
        <v>4</v>
      </c>
      <c r="Z11" s="26">
        <v>4</v>
      </c>
      <c r="AA11" s="26">
        <v>4</v>
      </c>
      <c r="AB11" s="26">
        <v>4</v>
      </c>
      <c r="AC11" s="26">
        <v>4</v>
      </c>
    </row>
    <row r="12" spans="1:29" ht="15.75" thickBot="1" x14ac:dyDescent="0.3">
      <c r="B12" s="37">
        <v>8</v>
      </c>
      <c r="C12" s="21"/>
      <c r="D12" s="9">
        <v>4.4962230255331637</v>
      </c>
      <c r="E12" s="9">
        <v>5.038055390405118</v>
      </c>
      <c r="F12" s="9">
        <v>163.46731732613148</v>
      </c>
      <c r="G12" s="9">
        <v>183.16649208305739</v>
      </c>
      <c r="H12" s="9">
        <v>2577.1659997027955</v>
      </c>
      <c r="I12" s="24"/>
      <c r="J12" s="9">
        <v>4.7695454936717683</v>
      </c>
      <c r="K12" s="9">
        <v>5.0685932719123494</v>
      </c>
      <c r="L12" s="22">
        <v>173.40438903673166</v>
      </c>
      <c r="M12" s="22">
        <v>184.27674518626472</v>
      </c>
      <c r="N12" s="22">
        <v>1072.6398665494157</v>
      </c>
      <c r="O12" s="21"/>
      <c r="P12" s="21"/>
      <c r="Q12" s="7" t="s">
        <v>27</v>
      </c>
      <c r="R12" s="41"/>
      <c r="S12" s="41"/>
      <c r="T12" s="41"/>
      <c r="U12" s="41"/>
    </row>
    <row r="13" spans="1:29" x14ac:dyDescent="0.25">
      <c r="B13" s="37">
        <v>9</v>
      </c>
      <c r="C13" s="21"/>
      <c r="D13" s="9">
        <v>4.4519246334819798</v>
      </c>
      <c r="E13" s="9">
        <v>4.9764485228285551</v>
      </c>
      <c r="F13" s="9">
        <v>167.85147456349171</v>
      </c>
      <c r="G13" s="9">
        <v>187.62766475513476</v>
      </c>
      <c r="H13" s="9">
        <v>2494.8401411483114</v>
      </c>
      <c r="I13" s="24"/>
      <c r="J13" s="9">
        <v>4.6774402307442173</v>
      </c>
      <c r="K13" s="9">
        <v>4.9658173203886733</v>
      </c>
      <c r="L13" s="22">
        <v>176.35411749972829</v>
      </c>
      <c r="M13" s="22">
        <v>187.2268351920068</v>
      </c>
      <c r="N13" s="22">
        <v>1034.3655617268753</v>
      </c>
      <c r="O13" s="21"/>
      <c r="P13" s="21"/>
      <c r="Q13" s="39">
        <v>75</v>
      </c>
      <c r="R13" s="40"/>
      <c r="S13" s="40"/>
      <c r="T13" s="40"/>
      <c r="U13" s="40"/>
      <c r="V13" s="26"/>
      <c r="W13" s="26"/>
      <c r="X13" s="26"/>
      <c r="Y13" s="26"/>
      <c r="Z13" s="26"/>
      <c r="AA13" s="26"/>
      <c r="AB13" s="26"/>
      <c r="AC13" s="26"/>
    </row>
    <row r="14" spans="1:29" x14ac:dyDescent="0.25">
      <c r="B14" s="37">
        <v>10</v>
      </c>
      <c r="C14" s="21"/>
      <c r="D14" s="9">
        <v>4.8477570435836617</v>
      </c>
      <c r="E14" s="9">
        <v>5.4307419596981843</v>
      </c>
      <c r="F14" s="9">
        <v>164.49803434996269</v>
      </c>
      <c r="G14" s="9">
        <v>184.28035262506006</v>
      </c>
      <c r="H14" s="9">
        <v>2772.9035796985008</v>
      </c>
      <c r="I14" s="24"/>
      <c r="J14" s="9">
        <v>5.198371564290647</v>
      </c>
      <c r="K14" s="9">
        <v>5.5187921511796878</v>
      </c>
      <c r="L14" s="22">
        <v>176.39537139724538</v>
      </c>
      <c r="M14" s="22">
        <v>187.26814332756976</v>
      </c>
      <c r="N14" s="22">
        <v>1149.3007795905817</v>
      </c>
      <c r="O14" s="21"/>
      <c r="P14" s="21"/>
      <c r="Q14" s="39">
        <v>50</v>
      </c>
      <c r="R14" s="39"/>
      <c r="S14" s="39"/>
      <c r="T14" s="39"/>
      <c r="U14" s="39"/>
      <c r="V14" s="26"/>
      <c r="W14" s="26"/>
      <c r="X14" s="26"/>
      <c r="Y14" s="26"/>
      <c r="Z14" s="26"/>
      <c r="AA14" s="26"/>
      <c r="AB14" s="26"/>
      <c r="AC14" s="26"/>
    </row>
    <row r="15" spans="1:29" x14ac:dyDescent="0.25">
      <c r="B15" s="37">
        <v>11</v>
      </c>
      <c r="C15" s="21"/>
      <c r="D15" s="9">
        <v>4.637425776096781</v>
      </c>
      <c r="E15" s="9">
        <v>5.1744302041903403</v>
      </c>
      <c r="F15" s="9">
        <v>171.66643934580796</v>
      </c>
      <c r="G15" s="9">
        <v>191.54506221432183</v>
      </c>
      <c r="H15" s="9">
        <v>2554.2024498658725</v>
      </c>
      <c r="I15" s="24"/>
      <c r="J15" s="9">
        <v>4.8996360893435673</v>
      </c>
      <c r="K15" s="9">
        <v>5.1933699538244156</v>
      </c>
      <c r="L15" s="22">
        <v>181.37283962219382</v>
      </c>
      <c r="M15" s="22">
        <v>192.24616656375241</v>
      </c>
      <c r="N15" s="22">
        <v>1053.5792846354752</v>
      </c>
      <c r="O15" s="21"/>
      <c r="P15" s="21"/>
      <c r="Q15" s="39">
        <v>35</v>
      </c>
      <c r="R15" s="39"/>
      <c r="S15" s="39"/>
      <c r="T15" s="39"/>
      <c r="U15" s="39"/>
      <c r="V15" s="26"/>
      <c r="W15" s="26"/>
      <c r="X15" s="26"/>
      <c r="Y15" s="26"/>
      <c r="Z15" s="26"/>
      <c r="AA15" s="26"/>
      <c r="AB15" s="26"/>
      <c r="AC15" s="26"/>
    </row>
    <row r="16" spans="1:29" x14ac:dyDescent="0.25">
      <c r="B16" s="37">
        <v>12</v>
      </c>
      <c r="C16" s="21"/>
      <c r="D16" s="9">
        <v>4.3168938957922354</v>
      </c>
      <c r="E16" s="9">
        <v>4.7889475352470763</v>
      </c>
      <c r="F16" s="9">
        <v>183.10544288081348</v>
      </c>
      <c r="G16" s="9">
        <v>203.12807785920131</v>
      </c>
      <c r="H16" s="9">
        <v>2245.2711733572323</v>
      </c>
      <c r="I16" s="24"/>
      <c r="J16" s="9">
        <v>4.4320661056147053</v>
      </c>
      <c r="K16" s="9">
        <v>4.6884323611109311</v>
      </c>
      <c r="L16" s="22">
        <v>187.99058923747072</v>
      </c>
      <c r="M16" s="22">
        <v>198.8646245706272</v>
      </c>
      <c r="N16" s="22">
        <v>919.54704786254717</v>
      </c>
      <c r="O16" s="21"/>
      <c r="P16" s="21"/>
      <c r="Q16" s="39">
        <v>25</v>
      </c>
      <c r="R16" s="39"/>
      <c r="S16" s="39"/>
      <c r="T16" s="39"/>
      <c r="U16" s="39"/>
      <c r="V16" s="26"/>
      <c r="W16" s="26"/>
      <c r="X16" s="26"/>
      <c r="Y16" s="26"/>
      <c r="Z16" s="26"/>
      <c r="AA16" s="26"/>
      <c r="AB16" s="26"/>
      <c r="AC16" s="26"/>
    </row>
    <row r="17" spans="2:29" ht="15.75" thickBot="1" x14ac:dyDescent="0.3">
      <c r="B17" s="37">
        <v>13</v>
      </c>
      <c r="C17" s="21"/>
      <c r="D17" s="9">
        <v>4.6021651654352391</v>
      </c>
      <c r="E17" s="9">
        <v>5.1135887124807509</v>
      </c>
      <c r="F17" s="9">
        <v>180.18970502037988</v>
      </c>
      <c r="G17" s="9">
        <v>200.21359698643278</v>
      </c>
      <c r="H17" s="9">
        <v>2432.5298050524743</v>
      </c>
      <c r="I17" s="24"/>
      <c r="J17" s="9">
        <v>4.8044353214638935</v>
      </c>
      <c r="K17" s="9">
        <v>5.0821678332830693</v>
      </c>
      <c r="L17" s="22">
        <v>188.10923820510044</v>
      </c>
      <c r="M17" s="22">
        <v>198.98336757253998</v>
      </c>
      <c r="N17" s="22">
        <v>996.18454969418428</v>
      </c>
      <c r="O17" s="21"/>
      <c r="P17" s="21"/>
      <c r="Q17" s="39">
        <v>10</v>
      </c>
      <c r="R17" s="39"/>
      <c r="S17" s="39"/>
      <c r="T17" s="39"/>
      <c r="U17" s="39"/>
      <c r="V17" s="26"/>
      <c r="W17" s="26"/>
      <c r="X17" s="26"/>
      <c r="Y17" s="26"/>
      <c r="Z17" s="26"/>
      <c r="AA17" s="26"/>
      <c r="AB17" s="26"/>
      <c r="AC17" s="26"/>
    </row>
    <row r="18" spans="2:29" ht="15.75" thickBot="1" x14ac:dyDescent="0.3">
      <c r="B18" s="37">
        <v>14</v>
      </c>
      <c r="C18" s="21"/>
      <c r="D18" s="9">
        <v>4.8876388100151198</v>
      </c>
      <c r="E18" s="9">
        <v>5.438491534133334</v>
      </c>
      <c r="F18" s="9">
        <v>177.69785880172506</v>
      </c>
      <c r="G18" s="9">
        <v>197.72498302177382</v>
      </c>
      <c r="H18" s="9">
        <v>2620.0703455147345</v>
      </c>
      <c r="I18" s="24"/>
      <c r="J18" s="9">
        <v>5.1722026587822558</v>
      </c>
      <c r="K18" s="9">
        <v>5.471299209972134</v>
      </c>
      <c r="L18" s="22">
        <v>188.04362872946274</v>
      </c>
      <c r="M18" s="22">
        <v>198.91775809690213</v>
      </c>
      <c r="N18" s="22">
        <v>1072.8141304398912</v>
      </c>
      <c r="O18" s="21"/>
      <c r="P18" s="21"/>
      <c r="Q18" s="7" t="s">
        <v>30</v>
      </c>
      <c r="R18" s="41"/>
      <c r="S18" s="41"/>
      <c r="T18" s="41"/>
      <c r="U18" s="41"/>
    </row>
    <row r="19" spans="2:29" x14ac:dyDescent="0.25">
      <c r="B19" s="37">
        <v>15</v>
      </c>
      <c r="C19" s="21"/>
      <c r="D19" s="9">
        <v>4.5123083937286346</v>
      </c>
      <c r="E19" s="9">
        <v>4.9887958463585989</v>
      </c>
      <c r="F19" s="9">
        <v>191.39414745723428</v>
      </c>
      <c r="G19" s="9">
        <v>211.60484712858877</v>
      </c>
      <c r="H19" s="9">
        <v>2266.3601176595394</v>
      </c>
      <c r="I19" s="24"/>
      <c r="J19" s="9">
        <v>4.6469688211201579</v>
      </c>
      <c r="K19" s="9">
        <v>4.9033607439967763</v>
      </c>
      <c r="L19" s="22">
        <v>197.10590637261515</v>
      </c>
      <c r="M19" s="22">
        <v>207.98103041380287</v>
      </c>
      <c r="N19" s="22">
        <v>919.63875643521146</v>
      </c>
      <c r="O19" s="21"/>
      <c r="P19" s="21"/>
      <c r="Q19" s="39">
        <v>75</v>
      </c>
      <c r="R19" s="40"/>
      <c r="S19" s="40"/>
      <c r="T19" s="40"/>
      <c r="U19" s="40"/>
      <c r="V19" s="26"/>
      <c r="W19" s="26"/>
      <c r="X19" s="26"/>
      <c r="Y19" s="26"/>
      <c r="Z19" s="26"/>
      <c r="AA19" s="26"/>
      <c r="AB19" s="26"/>
      <c r="AC19" s="26"/>
    </row>
    <row r="20" spans="2:29" x14ac:dyDescent="0.25">
      <c r="B20" s="37">
        <v>16</v>
      </c>
      <c r="C20" s="21"/>
      <c r="D20" s="9">
        <v>4.7543611821698688</v>
      </c>
      <c r="E20" s="9">
        <v>5.2628494912673798</v>
      </c>
      <c r="F20" s="9">
        <v>189.05724612661547</v>
      </c>
      <c r="G20" s="9">
        <v>209.27729162212401</v>
      </c>
      <c r="H20" s="9">
        <v>2418.5686688578726</v>
      </c>
      <c r="I20" s="24"/>
      <c r="J20" s="9">
        <v>4.9564907483061011</v>
      </c>
      <c r="K20" s="9">
        <v>5.2299767502312768</v>
      </c>
      <c r="L20" s="22">
        <v>197.09493145809526</v>
      </c>
      <c r="M20" s="22">
        <v>207.97010656512285</v>
      </c>
      <c r="N20" s="22">
        <v>980.95259522659319</v>
      </c>
      <c r="O20" s="21"/>
      <c r="P20" s="21"/>
      <c r="Q20" s="39">
        <v>50</v>
      </c>
      <c r="R20" s="39"/>
      <c r="S20" s="39"/>
      <c r="T20" s="39"/>
      <c r="U20" s="39"/>
      <c r="V20" s="26"/>
      <c r="W20" s="26"/>
      <c r="X20" s="26"/>
      <c r="Y20" s="26"/>
      <c r="Z20" s="26"/>
      <c r="AA20" s="26"/>
      <c r="AB20" s="26"/>
      <c r="AC20" s="26"/>
    </row>
    <row r="21" spans="2:29" x14ac:dyDescent="0.25">
      <c r="B21" s="37">
        <v>17</v>
      </c>
      <c r="C21" s="21"/>
      <c r="D21" s="9">
        <v>4.9954443350514479</v>
      </c>
      <c r="E21" s="9">
        <v>5.5356861645087916</v>
      </c>
      <c r="F21" s="9">
        <v>186.95898488377375</v>
      </c>
      <c r="G21" s="9">
        <v>207.17801991903403</v>
      </c>
      <c r="H21" s="9">
        <v>2569.6007930861269</v>
      </c>
      <c r="I21" s="24"/>
      <c r="J21" s="9">
        <v>5.262276439666639</v>
      </c>
      <c r="K21" s="9">
        <v>5.5528545007505468</v>
      </c>
      <c r="L21" s="22">
        <v>196.94541573302135</v>
      </c>
      <c r="M21" s="22">
        <v>207.82056030195449</v>
      </c>
      <c r="N21" s="22">
        <v>1042.2592170285734</v>
      </c>
      <c r="O21" s="21"/>
      <c r="P21" s="21"/>
      <c r="Q21" s="39">
        <v>35</v>
      </c>
      <c r="R21" s="39"/>
      <c r="S21" s="39"/>
      <c r="T21" s="39"/>
      <c r="U21" s="39"/>
      <c r="V21" s="26"/>
      <c r="W21" s="26"/>
      <c r="X21" s="26"/>
      <c r="Y21" s="26"/>
      <c r="Z21" s="26"/>
      <c r="AA21" s="26"/>
      <c r="AB21" s="26"/>
      <c r="AC21" s="26"/>
    </row>
    <row r="22" spans="2:29" x14ac:dyDescent="0.25">
      <c r="B22" s="37">
        <v>18</v>
      </c>
      <c r="C22" s="21"/>
      <c r="D22" s="9">
        <v>4.641927944312509</v>
      </c>
      <c r="E22" s="9">
        <v>5.1115465876286033</v>
      </c>
      <c r="F22" s="9">
        <v>201.94060764981649</v>
      </c>
      <c r="G22" s="9">
        <v>222.37071241073386</v>
      </c>
      <c r="H22" s="9">
        <v>2233.6893822627426</v>
      </c>
      <c r="I22" s="24"/>
      <c r="J22" s="9">
        <v>4.7687482643459065</v>
      </c>
      <c r="K22" s="9">
        <v>5.0187570960352721</v>
      </c>
      <c r="L22" s="22">
        <v>207.45774897495644</v>
      </c>
      <c r="M22" s="22">
        <v>218.33403486195084</v>
      </c>
      <c r="N22" s="22">
        <v>896.74321020617469</v>
      </c>
      <c r="O22" s="21"/>
      <c r="P22" s="21"/>
      <c r="Q22" s="39">
        <v>25</v>
      </c>
      <c r="R22" s="39"/>
      <c r="S22" s="39"/>
      <c r="T22" s="39"/>
      <c r="U22" s="39"/>
      <c r="V22" s="26"/>
      <c r="W22" s="26"/>
      <c r="X22" s="26"/>
      <c r="Y22" s="26"/>
      <c r="Z22" s="26"/>
      <c r="AA22" s="26"/>
      <c r="AB22" s="26"/>
      <c r="AC22" s="26"/>
    </row>
    <row r="23" spans="2:29" x14ac:dyDescent="0.25">
      <c r="B23" s="37">
        <v>19</v>
      </c>
      <c r="C23" s="21"/>
      <c r="D23" s="9">
        <v>4.8503084288416662</v>
      </c>
      <c r="E23" s="9">
        <v>5.3460731634857526</v>
      </c>
      <c r="F23" s="9">
        <v>199.90033606810115</v>
      </c>
      <c r="G23" s="9">
        <v>220.33275568017382</v>
      </c>
      <c r="H23" s="9">
        <v>2358.0503875554905</v>
      </c>
      <c r="I23" s="24"/>
      <c r="J23" s="9">
        <v>5.0278878595385921</v>
      </c>
      <c r="K23" s="9">
        <v>5.2917853564149775</v>
      </c>
      <c r="L23" s="22">
        <v>207.2190846375762</v>
      </c>
      <c r="M23" s="22">
        <v>218.09534108333759</v>
      </c>
      <c r="N23" s="22">
        <v>946.55972508994046</v>
      </c>
      <c r="O23" s="21"/>
      <c r="P23" s="21"/>
      <c r="Q23" s="39">
        <v>10</v>
      </c>
      <c r="R23" s="39"/>
      <c r="S23" s="39"/>
      <c r="T23" s="39"/>
      <c r="U23" s="39"/>
      <c r="V23" s="26"/>
      <c r="W23" s="26"/>
      <c r="X23" s="26"/>
      <c r="Y23" s="26"/>
      <c r="Z23" s="26"/>
      <c r="AA23" s="26"/>
      <c r="AB23" s="26"/>
      <c r="AC23" s="26"/>
    </row>
    <row r="24" spans="2:29" x14ac:dyDescent="0.25">
      <c r="B24" s="37">
        <v>20</v>
      </c>
      <c r="C24" s="21"/>
      <c r="D24" s="9">
        <v>5.0595946941285348</v>
      </c>
      <c r="E24" s="9">
        <v>5.5817437378264723</v>
      </c>
      <c r="F24" s="9">
        <v>198.09955590141868</v>
      </c>
      <c r="G24" s="9">
        <v>218.54338587676179</v>
      </c>
      <c r="H24" s="9">
        <v>2483.5444492387733</v>
      </c>
      <c r="I24" s="24"/>
      <c r="J24" s="9">
        <v>5.2937583915896855</v>
      </c>
      <c r="K24" s="9">
        <v>5.5715480515110709</v>
      </c>
      <c r="L24" s="22">
        <v>207.26782476080365</v>
      </c>
      <c r="M24" s="22">
        <v>218.14419166194946</v>
      </c>
      <c r="N24" s="22">
        <v>996.38873768706333</v>
      </c>
      <c r="O24" s="21"/>
    </row>
    <row r="25" spans="2:29" x14ac:dyDescent="0.25">
      <c r="B25" s="37">
        <v>21</v>
      </c>
      <c r="C25" s="21"/>
      <c r="D25" s="9">
        <v>5.2680841034723862</v>
      </c>
      <c r="E25" s="9">
        <v>5.8164134324302585</v>
      </c>
      <c r="F25" s="9">
        <v>196.44056480128484</v>
      </c>
      <c r="G25" s="9">
        <v>216.88711063501509</v>
      </c>
      <c r="H25" s="9">
        <v>2608.0680942048034</v>
      </c>
      <c r="I25" s="24"/>
      <c r="J25" s="9">
        <v>5.554073242654483</v>
      </c>
      <c r="K25" s="9">
        <v>5.8457518633565249</v>
      </c>
      <c r="L25" s="22">
        <v>207.10475825843446</v>
      </c>
      <c r="M25" s="22">
        <v>217.98110568679121</v>
      </c>
      <c r="N25" s="22">
        <v>1046.2063087156193</v>
      </c>
      <c r="O25" s="21"/>
      <c r="R25" s="52" t="s">
        <v>37</v>
      </c>
      <c r="S25" s="53"/>
      <c r="T25" s="54"/>
      <c r="U25" s="29"/>
    </row>
    <row r="26" spans="2:29" x14ac:dyDescent="0.25">
      <c r="B26" s="37">
        <v>22</v>
      </c>
      <c r="C26" s="21"/>
      <c r="D26" s="9">
        <v>4.7488686132380433</v>
      </c>
      <c r="E26" s="9">
        <v>5.1980053253548988</v>
      </c>
      <c r="F26" s="9">
        <v>219.73973415316675</v>
      </c>
      <c r="G26" s="9">
        <v>240.52219619978266</v>
      </c>
      <c r="H26" s="9">
        <v>2136.2693311231242</v>
      </c>
      <c r="I26" s="24"/>
      <c r="J26" s="9">
        <v>4.8126672594807083</v>
      </c>
      <c r="K26" s="9">
        <v>5.0477584000238993</v>
      </c>
      <c r="L26" s="22">
        <v>222.6918262631938</v>
      </c>
      <c r="M26" s="22">
        <v>233.56996776003797</v>
      </c>
      <c r="N26" s="22">
        <v>843.23519067472523</v>
      </c>
      <c r="O26" s="21"/>
      <c r="Q26" s="39" t="s">
        <v>38</v>
      </c>
      <c r="R26" s="39">
        <f>R6</f>
        <v>1</v>
      </c>
      <c r="S26" s="39">
        <f>S6</f>
        <v>3</v>
      </c>
      <c r="T26" s="39">
        <f>T6</f>
        <v>5</v>
      </c>
      <c r="U26" s="39">
        <f t="shared" ref="U26:AA31" si="0">U6</f>
        <v>8</v>
      </c>
      <c r="V26" s="39">
        <f t="shared" si="0"/>
        <v>10</v>
      </c>
      <c r="W26" s="39">
        <f t="shared" si="0"/>
        <v>13</v>
      </c>
      <c r="X26" s="39">
        <f t="shared" si="0"/>
        <v>16</v>
      </c>
      <c r="Y26" s="39">
        <f t="shared" si="0"/>
        <v>20</v>
      </c>
      <c r="Z26" s="39">
        <f t="shared" si="0"/>
        <v>25</v>
      </c>
      <c r="AA26" s="39">
        <f t="shared" si="0"/>
        <v>30</v>
      </c>
    </row>
    <row r="27" spans="2:29" x14ac:dyDescent="0.25">
      <c r="B27" s="37">
        <v>23</v>
      </c>
      <c r="C27" s="21"/>
      <c r="D27" s="9">
        <v>4.9239971168146193</v>
      </c>
      <c r="E27" s="9">
        <v>5.3935334359043985</v>
      </c>
      <c r="F27" s="9">
        <v>217.93705371605046</v>
      </c>
      <c r="G27" s="9">
        <v>238.71882096072827</v>
      </c>
      <c r="H27" s="9">
        <v>2233.2978161423512</v>
      </c>
      <c r="I27" s="24"/>
      <c r="J27" s="9">
        <v>5.0266226809855503</v>
      </c>
      <c r="K27" s="9">
        <v>5.2723988956816266</v>
      </c>
      <c r="L27" s="22">
        <v>222.47928080529559</v>
      </c>
      <c r="M27" s="22">
        <v>233.35738305304776</v>
      </c>
      <c r="N27" s="22">
        <v>881.5608945437499</v>
      </c>
      <c r="O27" s="21"/>
      <c r="Q27" s="39">
        <v>75</v>
      </c>
      <c r="R27" s="39">
        <f>R7</f>
        <v>0</v>
      </c>
      <c r="S27" s="39">
        <f t="shared" ref="S27:T27" si="1">S7</f>
        <v>50</v>
      </c>
      <c r="T27" s="39">
        <f t="shared" si="1"/>
        <v>19</v>
      </c>
      <c r="U27" s="39">
        <f t="shared" si="0"/>
        <v>10</v>
      </c>
      <c r="V27" s="39">
        <f t="shared" si="0"/>
        <v>8</v>
      </c>
      <c r="W27" s="39">
        <f t="shared" si="0"/>
        <v>6</v>
      </c>
      <c r="X27" s="39">
        <f t="shared" si="0"/>
        <v>5</v>
      </c>
      <c r="Y27" s="39">
        <f t="shared" si="0"/>
        <v>4</v>
      </c>
      <c r="Z27" s="39">
        <f t="shared" si="0"/>
        <v>4</v>
      </c>
      <c r="AA27" s="39">
        <f t="shared" si="0"/>
        <v>4</v>
      </c>
    </row>
    <row r="28" spans="2:29" x14ac:dyDescent="0.25">
      <c r="B28" s="37">
        <v>24</v>
      </c>
      <c r="C28" s="21"/>
      <c r="D28" s="9">
        <v>5.0996799036798874</v>
      </c>
      <c r="E28" s="9">
        <v>5.5897617238522033</v>
      </c>
      <c r="F28" s="9">
        <v>216.30810713783438</v>
      </c>
      <c r="G28" s="9">
        <v>237.09542572770178</v>
      </c>
      <c r="H28" s="9">
        <v>2331.0202304342474</v>
      </c>
      <c r="I28" s="24"/>
      <c r="J28" s="9">
        <v>5.247462793137597</v>
      </c>
      <c r="K28" s="9">
        <v>5.5039269886572706</v>
      </c>
      <c r="L28" s="22">
        <v>222.57646862124631</v>
      </c>
      <c r="M28" s="22">
        <v>233.45465818005715</v>
      </c>
      <c r="N28" s="22">
        <v>919.89698383654911</v>
      </c>
      <c r="O28" s="21"/>
      <c r="Q28" s="39">
        <v>50</v>
      </c>
      <c r="R28" s="39">
        <f t="shared" ref="R28:T31" si="2">R8</f>
        <v>0</v>
      </c>
      <c r="S28" s="39">
        <f t="shared" si="2"/>
        <v>63</v>
      </c>
      <c r="T28" s="39">
        <f t="shared" si="2"/>
        <v>21</v>
      </c>
      <c r="U28" s="39">
        <f t="shared" si="0"/>
        <v>11</v>
      </c>
      <c r="V28" s="39">
        <f t="shared" si="0"/>
        <v>8</v>
      </c>
      <c r="W28" s="39">
        <f t="shared" si="0"/>
        <v>6</v>
      </c>
      <c r="X28" s="39">
        <f t="shared" si="0"/>
        <v>5</v>
      </c>
      <c r="Y28" s="39">
        <f t="shared" si="0"/>
        <v>4</v>
      </c>
      <c r="Z28" s="39">
        <f t="shared" si="0"/>
        <v>4</v>
      </c>
      <c r="AA28" s="39">
        <f t="shared" si="0"/>
        <v>4</v>
      </c>
    </row>
    <row r="29" spans="2:29" x14ac:dyDescent="0.25">
      <c r="B29" s="37">
        <v>25</v>
      </c>
      <c r="C29" s="21"/>
      <c r="D29" s="9">
        <v>5.2746749490868226</v>
      </c>
      <c r="E29" s="9">
        <v>5.7851256016933137</v>
      </c>
      <c r="F29" s="9">
        <v>214.78147188292709</v>
      </c>
      <c r="G29" s="9">
        <v>235.5667038732706</v>
      </c>
      <c r="H29" s="9">
        <v>2427.9023397475203</v>
      </c>
      <c r="I29" s="24"/>
      <c r="J29" s="9">
        <v>5.4693657033742431</v>
      </c>
      <c r="K29" s="9">
        <v>5.7365159583589085</v>
      </c>
      <c r="L29" s="22">
        <v>222.70915788660946</v>
      </c>
      <c r="M29" s="22">
        <v>233.58734953507101</v>
      </c>
      <c r="N29" s="22">
        <v>958.22620818820917</v>
      </c>
      <c r="O29" s="21"/>
      <c r="Q29" s="39">
        <v>35</v>
      </c>
      <c r="R29" s="39">
        <f t="shared" si="2"/>
        <v>0</v>
      </c>
      <c r="S29" s="39">
        <f t="shared" si="2"/>
        <v>106</v>
      </c>
      <c r="T29" s="39">
        <f t="shared" si="2"/>
        <v>24</v>
      </c>
      <c r="U29" s="39">
        <f t="shared" si="0"/>
        <v>11</v>
      </c>
      <c r="V29" s="39">
        <f t="shared" si="0"/>
        <v>8</v>
      </c>
      <c r="W29" s="39">
        <f t="shared" si="0"/>
        <v>6</v>
      </c>
      <c r="X29" s="39">
        <f t="shared" si="0"/>
        <v>5</v>
      </c>
      <c r="Y29" s="39">
        <f t="shared" si="0"/>
        <v>4</v>
      </c>
      <c r="Z29" s="39">
        <f t="shared" si="0"/>
        <v>4</v>
      </c>
      <c r="AA29" s="39">
        <f t="shared" si="0"/>
        <v>4</v>
      </c>
    </row>
    <row r="30" spans="2:29" x14ac:dyDescent="0.25">
      <c r="B30" s="37">
        <v>26</v>
      </c>
      <c r="C30" s="21"/>
      <c r="D30" s="9">
        <v>5.451010890482249</v>
      </c>
      <c r="E30" s="9">
        <v>5.9821802934264516</v>
      </c>
      <c r="F30" s="9">
        <v>213.42477053971265</v>
      </c>
      <c r="G30" s="9">
        <v>234.22177685995749</v>
      </c>
      <c r="H30" s="9">
        <v>2526.4487950507173</v>
      </c>
      <c r="I30" s="24"/>
      <c r="J30" s="9">
        <v>5.6800054087359175</v>
      </c>
      <c r="K30" s="9">
        <v>5.9578417231855756</v>
      </c>
      <c r="L30" s="22">
        <v>222.39064925378318</v>
      </c>
      <c r="M30" s="22">
        <v>233.26884283115314</v>
      </c>
      <c r="N30" s="22">
        <v>996.55543253986923</v>
      </c>
      <c r="O30" s="21"/>
      <c r="Q30" s="39">
        <v>25</v>
      </c>
      <c r="R30" s="39">
        <f t="shared" si="2"/>
        <v>0</v>
      </c>
      <c r="S30" s="39">
        <f t="shared" si="2"/>
        <v>906</v>
      </c>
      <c r="T30" s="39">
        <f t="shared" si="2"/>
        <v>29</v>
      </c>
      <c r="U30" s="39">
        <f t="shared" si="0"/>
        <v>12</v>
      </c>
      <c r="V30" s="39">
        <f t="shared" si="0"/>
        <v>9</v>
      </c>
      <c r="W30" s="39">
        <f t="shared" si="0"/>
        <v>6</v>
      </c>
      <c r="X30" s="39">
        <f t="shared" si="0"/>
        <v>5</v>
      </c>
      <c r="Y30" s="39">
        <f t="shared" si="0"/>
        <v>4</v>
      </c>
      <c r="Z30" s="39">
        <f t="shared" si="0"/>
        <v>4</v>
      </c>
      <c r="AA30" s="39">
        <f t="shared" si="0"/>
        <v>4</v>
      </c>
    </row>
    <row r="31" spans="2:29" x14ac:dyDescent="0.25">
      <c r="B31" s="37">
        <v>27</v>
      </c>
      <c r="C31" s="21"/>
      <c r="D31" s="9">
        <v>5.6255535073786831</v>
      </c>
      <c r="E31" s="9">
        <v>6.1769777629839178</v>
      </c>
      <c r="F31" s="9">
        <v>212.10095165308391</v>
      </c>
      <c r="G31" s="9">
        <v>232.89136973817682</v>
      </c>
      <c r="H31" s="9">
        <v>2622.7887721197148</v>
      </c>
      <c r="I31" s="24"/>
      <c r="J31" s="9">
        <v>5.9069798708815462</v>
      </c>
      <c r="K31" s="9">
        <v>6.1955044617484401</v>
      </c>
      <c r="L31" s="22">
        <v>222.71160524315843</v>
      </c>
      <c r="M31" s="22">
        <v>233.58988419258401</v>
      </c>
      <c r="N31" s="22">
        <v>1034.8925779774604</v>
      </c>
      <c r="O31" s="21"/>
      <c r="Q31" s="39">
        <v>10</v>
      </c>
      <c r="R31" s="39">
        <f t="shared" si="2"/>
        <v>0</v>
      </c>
      <c r="S31" s="39">
        <f t="shared" si="2"/>
        <v>0</v>
      </c>
      <c r="T31" s="39">
        <f t="shared" si="2"/>
        <v>143</v>
      </c>
      <c r="U31" s="39">
        <f t="shared" si="0"/>
        <v>18</v>
      </c>
      <c r="V31" s="39">
        <f t="shared" si="0"/>
        <v>12</v>
      </c>
      <c r="W31" s="39">
        <f t="shared" si="0"/>
        <v>8</v>
      </c>
      <c r="X31" s="39">
        <f t="shared" si="0"/>
        <v>6</v>
      </c>
      <c r="Y31" s="39">
        <f t="shared" si="0"/>
        <v>4</v>
      </c>
      <c r="Z31" s="39">
        <f t="shared" si="0"/>
        <v>4</v>
      </c>
      <c r="AA31" s="39">
        <f t="shared" si="0"/>
        <v>4</v>
      </c>
    </row>
    <row r="32" spans="2:29" x14ac:dyDescent="0.25">
      <c r="B32" s="37">
        <v>28</v>
      </c>
      <c r="C32" s="21"/>
      <c r="D32" s="9">
        <v>5.1836109381129267</v>
      </c>
      <c r="E32" s="9">
        <v>5.6491621361492612</v>
      </c>
      <c r="F32" s="9">
        <v>235.57299351693999</v>
      </c>
      <c r="G32" s="9">
        <v>256.73030849797954</v>
      </c>
      <c r="H32" s="9">
        <v>2214.3430265257171</v>
      </c>
      <c r="I32" s="24"/>
      <c r="J32" s="9">
        <v>5.2819988622836123</v>
      </c>
      <c r="K32" s="9">
        <v>5.5214068640052512</v>
      </c>
      <c r="L32" s="22">
        <v>240.04430475142934</v>
      </c>
      <c r="M32" s="22">
        <v>250.92437663776704</v>
      </c>
      <c r="N32" s="22">
        <v>858.71850760251505</v>
      </c>
      <c r="O32" s="21"/>
      <c r="U32" s="29"/>
    </row>
    <row r="33" spans="2:21" x14ac:dyDescent="0.25">
      <c r="B33" s="37">
        <v>29</v>
      </c>
      <c r="C33" s="21"/>
      <c r="D33" s="9">
        <v>5.3370336135012142</v>
      </c>
      <c r="E33" s="9">
        <v>5.8192765270954157</v>
      </c>
      <c r="F33" s="9">
        <v>234.18176484744478</v>
      </c>
      <c r="G33" s="9">
        <v>255.34192698413733</v>
      </c>
      <c r="H33" s="9">
        <v>2293.7353341864118</v>
      </c>
      <c r="I33" s="24"/>
      <c r="J33" s="9">
        <v>5.4737633292017476</v>
      </c>
      <c r="K33" s="9">
        <v>5.7217242084218976</v>
      </c>
      <c r="L33" s="22">
        <v>240.18127851901684</v>
      </c>
      <c r="M33" s="22">
        <v>251.06146412661786</v>
      </c>
      <c r="N33" s="22">
        <v>889.39628585782248</v>
      </c>
      <c r="O33" s="21"/>
      <c r="Q33" s="29"/>
      <c r="R33" s="29"/>
      <c r="S33" s="29"/>
      <c r="T33" s="29"/>
      <c r="U33" s="29"/>
    </row>
    <row r="34" spans="2:21" x14ac:dyDescent="0.25">
      <c r="B34" s="37">
        <v>30</v>
      </c>
      <c r="C34" s="21"/>
      <c r="D34" s="9">
        <v>5.4910967710374328</v>
      </c>
      <c r="E34" s="9">
        <v>5.9901989504560103</v>
      </c>
      <c r="F34" s="9">
        <v>232.91045145729578</v>
      </c>
      <c r="G34" s="9">
        <v>254.0803777541399</v>
      </c>
      <c r="H34" s="9">
        <v>2373.9245762461919</v>
      </c>
      <c r="I34" s="24"/>
      <c r="J34" s="9">
        <v>5.655972052039985</v>
      </c>
      <c r="K34" s="9">
        <v>5.9124829020879321</v>
      </c>
      <c r="L34" s="22">
        <v>239.90380410316396</v>
      </c>
      <c r="M34" s="22">
        <v>250.78397256121772</v>
      </c>
      <c r="N34" s="22">
        <v>920.06367868935627</v>
      </c>
      <c r="O34" s="21"/>
      <c r="R34" s="52" t="s">
        <v>39</v>
      </c>
      <c r="S34" s="53"/>
      <c r="T34" s="54"/>
      <c r="U34" s="29"/>
    </row>
    <row r="35" spans="2:21" x14ac:dyDescent="0.25">
      <c r="B35" s="37">
        <v>31</v>
      </c>
      <c r="C35" s="21"/>
      <c r="D35" s="9">
        <v>5.64409282812729</v>
      </c>
      <c r="E35" s="9">
        <v>6.1597784423192534</v>
      </c>
      <c r="F35" s="9">
        <v>231.67735620504502</v>
      </c>
      <c r="G35" s="9">
        <v>252.84509447001079</v>
      </c>
      <c r="H35" s="9">
        <v>2452.8018582748268</v>
      </c>
      <c r="I35" s="24"/>
      <c r="J35" s="9">
        <v>5.8518406956548841</v>
      </c>
      <c r="K35" s="9">
        <v>6.1169032408268134</v>
      </c>
      <c r="L35" s="22">
        <v>240.20494038405977</v>
      </c>
      <c r="M35" s="22">
        <v>251.08516357748098</v>
      </c>
      <c r="N35" s="22">
        <v>950.73723236550143</v>
      </c>
      <c r="O35" s="21"/>
      <c r="Q35" s="39" t="s">
        <v>38</v>
      </c>
      <c r="R35" s="42">
        <v>1</v>
      </c>
      <c r="S35" s="42">
        <v>2</v>
      </c>
      <c r="T35" s="42">
        <v>3</v>
      </c>
    </row>
    <row r="36" spans="2:21" x14ac:dyDescent="0.25">
      <c r="B36" s="37">
        <v>32</v>
      </c>
      <c r="C36" s="21"/>
      <c r="D36" s="9">
        <v>5.7978614710423804</v>
      </c>
      <c r="E36" s="9">
        <v>6.3303322642061772</v>
      </c>
      <c r="F36" s="9">
        <v>230.55205129337955</v>
      </c>
      <c r="G36" s="9">
        <v>251.72576063963874</v>
      </c>
      <c r="H36" s="9">
        <v>2532.6387143758261</v>
      </c>
      <c r="I36" s="24"/>
      <c r="J36" s="9">
        <v>6.0381727765058359</v>
      </c>
      <c r="K36" s="9">
        <v>6.3117872631297729</v>
      </c>
      <c r="L36" s="22">
        <v>240.10803408122436</v>
      </c>
      <c r="M36" s="22">
        <v>250.98831838429035</v>
      </c>
      <c r="N36" s="22">
        <v>981.41166616230635</v>
      </c>
      <c r="O36" s="21"/>
      <c r="Q36" s="39">
        <v>75</v>
      </c>
      <c r="R36" s="39">
        <f>R7</f>
        <v>0</v>
      </c>
      <c r="S36" s="39">
        <f>R13</f>
        <v>0</v>
      </c>
      <c r="T36" s="39">
        <f>R19</f>
        <v>0</v>
      </c>
    </row>
    <row r="37" spans="2:21" x14ac:dyDescent="0.25">
      <c r="B37" s="37">
        <v>33</v>
      </c>
      <c r="C37" s="21"/>
      <c r="D37" s="9">
        <v>5.9515292299738451</v>
      </c>
      <c r="E37" s="9">
        <v>6.5007601265593902</v>
      </c>
      <c r="F37" s="9">
        <v>229.4910565914652</v>
      </c>
      <c r="G37" s="9">
        <v>250.66940822171475</v>
      </c>
      <c r="H37" s="9">
        <v>2612.3563013830881</v>
      </c>
      <c r="I37" s="24"/>
      <c r="J37" s="9">
        <v>6.2253409066151768</v>
      </c>
      <c r="K37" s="9">
        <v>6.5075063001134135</v>
      </c>
      <c r="L37" s="22">
        <v>240.0492389596254</v>
      </c>
      <c r="M37" s="22">
        <v>250.92954077538937</v>
      </c>
      <c r="N37" s="22">
        <v>1012.0824034523447</v>
      </c>
      <c r="O37" s="21"/>
      <c r="Q37" s="39">
        <v>50</v>
      </c>
      <c r="R37" s="39">
        <f t="shared" ref="R37:R40" si="3">R8</f>
        <v>0</v>
      </c>
      <c r="S37" s="39">
        <f t="shared" ref="S37:S40" si="4">R14</f>
        <v>0</v>
      </c>
      <c r="T37" s="39">
        <f t="shared" ref="T37:T40" si="5">R20</f>
        <v>0</v>
      </c>
    </row>
    <row r="38" spans="2:21" x14ac:dyDescent="0.25">
      <c r="B38" s="37">
        <v>34</v>
      </c>
      <c r="D38" s="9">
        <v>4.9773249975471447</v>
      </c>
      <c r="E38" s="9">
        <v>5.348777840005523</v>
      </c>
      <c r="F38" s="9">
        <v>298.04936388096894</v>
      </c>
      <c r="G38" s="9">
        <v>320.29249316448096</v>
      </c>
      <c r="H38" s="9">
        <v>1766.7745563757928</v>
      </c>
      <c r="I38" s="24"/>
      <c r="J38" s="9">
        <v>4.8888790705727674</v>
      </c>
      <c r="K38" s="9">
        <v>5.0706668712559964</v>
      </c>
      <c r="L38" s="22">
        <v>292.75309484377192</v>
      </c>
      <c r="M38" s="22">
        <v>303.6388092348671</v>
      </c>
      <c r="N38" s="22">
        <v>652.04268310405246</v>
      </c>
      <c r="Q38" s="39">
        <v>35</v>
      </c>
      <c r="R38" s="39">
        <f t="shared" si="3"/>
        <v>0</v>
      </c>
      <c r="S38" s="39">
        <f t="shared" si="4"/>
        <v>0</v>
      </c>
      <c r="T38" s="39">
        <f t="shared" si="5"/>
        <v>0</v>
      </c>
    </row>
    <row r="39" spans="2:21" x14ac:dyDescent="0.25">
      <c r="B39" s="37">
        <v>35</v>
      </c>
      <c r="D39" s="9">
        <v>5.0984163130538125</v>
      </c>
      <c r="E39" s="9">
        <v>5.4810503248453815</v>
      </c>
      <c r="F39" s="9">
        <v>296.57761461523245</v>
      </c>
      <c r="G39" s="9">
        <v>318.83564054325404</v>
      </c>
      <c r="H39" s="9">
        <v>1819.9565575086133</v>
      </c>
      <c r="I39" s="24"/>
      <c r="J39" s="9">
        <v>5.0332569489958097</v>
      </c>
      <c r="K39" s="9">
        <v>5.2203932971593368</v>
      </c>
      <c r="L39" s="22">
        <v>292.78725941950444</v>
      </c>
      <c r="M39" s="22">
        <v>303.67308127835167</v>
      </c>
      <c r="N39" s="22">
        <v>671.22700998264224</v>
      </c>
      <c r="Q39" s="39">
        <v>25</v>
      </c>
      <c r="R39" s="39">
        <f t="shared" si="3"/>
        <v>0</v>
      </c>
      <c r="S39" s="39">
        <f t="shared" si="4"/>
        <v>0</v>
      </c>
      <c r="T39" s="39">
        <f t="shared" si="5"/>
        <v>0</v>
      </c>
    </row>
    <row r="40" spans="2:21" x14ac:dyDescent="0.25">
      <c r="B40" s="37">
        <v>36</v>
      </c>
      <c r="D40" s="9">
        <v>5.2178935012018757</v>
      </c>
      <c r="E40" s="9">
        <v>5.6112903765592153</v>
      </c>
      <c r="F40" s="9">
        <v>295.09634272727425</v>
      </c>
      <c r="G40" s="9">
        <v>317.34478055597822</v>
      </c>
      <c r="H40" s="9">
        <v>1871.1489333049467</v>
      </c>
      <c r="I40" s="24"/>
      <c r="J40" s="9">
        <v>5.1871093950546134</v>
      </c>
      <c r="K40" s="9">
        <v>5.3795940443704069</v>
      </c>
      <c r="L40" s="22">
        <v>293.3553571866355</v>
      </c>
      <c r="M40" s="22">
        <v>304.24126661179895</v>
      </c>
      <c r="N40" s="22">
        <v>690.41045674057466</v>
      </c>
      <c r="Q40" s="39">
        <v>10</v>
      </c>
      <c r="R40" s="39">
        <f t="shared" si="3"/>
        <v>0</v>
      </c>
      <c r="S40" s="39">
        <f t="shared" si="4"/>
        <v>0</v>
      </c>
      <c r="T40" s="39">
        <f t="shared" si="5"/>
        <v>0</v>
      </c>
    </row>
    <row r="41" spans="2:21" x14ac:dyDescent="0.25">
      <c r="B41" s="37">
        <v>37</v>
      </c>
      <c r="D41" s="9">
        <v>5.3392646754816777</v>
      </c>
      <c r="E41" s="9">
        <v>5.7439168070247444</v>
      </c>
      <c r="F41" s="9">
        <v>293.79935841867194</v>
      </c>
      <c r="G41" s="9">
        <v>316.06582091041491</v>
      </c>
      <c r="H41" s="9">
        <v>1924.6833203965491</v>
      </c>
      <c r="I41" s="24"/>
      <c r="J41" s="9">
        <v>5.3147126501178565</v>
      </c>
      <c r="K41" s="9">
        <v>5.5125425953839926</v>
      </c>
      <c r="L41" s="22">
        <v>292.44835416280614</v>
      </c>
      <c r="M41" s="22">
        <v>303.33418105617852</v>
      </c>
      <c r="N41" s="22">
        <v>709.58316602646744</v>
      </c>
    </row>
    <row r="42" spans="2:21" x14ac:dyDescent="0.25">
      <c r="B42" s="37">
        <v>38</v>
      </c>
      <c r="D42" s="9">
        <v>5.4592853691085557</v>
      </c>
      <c r="E42" s="9">
        <v>5.874842838933823</v>
      </c>
      <c r="F42" s="9">
        <v>292.49828021930955</v>
      </c>
      <c r="G42" s="9">
        <v>314.76307076203693</v>
      </c>
      <c r="H42" s="9">
        <v>1976.5533614982251</v>
      </c>
      <c r="I42" s="24"/>
      <c r="J42" s="9">
        <v>5.4662454533248024</v>
      </c>
      <c r="K42" s="9">
        <v>5.6694239460712321</v>
      </c>
      <c r="L42" s="22">
        <v>292.87118848949325</v>
      </c>
      <c r="M42" s="22">
        <v>303.75711140573503</v>
      </c>
      <c r="N42" s="22">
        <v>728.76749290505757</v>
      </c>
    </row>
    <row r="43" spans="2:21" x14ac:dyDescent="0.25">
      <c r="B43" s="37">
        <v>39</v>
      </c>
      <c r="D43" s="9">
        <v>5.5803660301704907</v>
      </c>
      <c r="E43" s="9">
        <v>6.0071046693289478</v>
      </c>
      <c r="F43" s="9">
        <v>291.31925886658883</v>
      </c>
      <c r="G43" s="9">
        <v>313.59686277594744</v>
      </c>
      <c r="H43" s="9">
        <v>2029.7353626310492</v>
      </c>
      <c r="I43" s="24"/>
      <c r="J43" s="9">
        <v>5.6074088273362772</v>
      </c>
      <c r="K43" s="9">
        <v>5.8159351285789205</v>
      </c>
      <c r="L43" s="22">
        <v>292.73100992116537</v>
      </c>
      <c r="M43" s="22">
        <v>303.61698535785945</v>
      </c>
      <c r="N43" s="22">
        <v>747.94917942167194</v>
      </c>
    </row>
    <row r="44" spans="2:21" x14ac:dyDescent="0.25">
      <c r="B44" s="37">
        <v>40</v>
      </c>
      <c r="D44" s="9">
        <v>5.7002281209253667</v>
      </c>
      <c r="E44" s="9">
        <v>6.137832205445414</v>
      </c>
      <c r="F44" s="9">
        <v>290.13716430354623</v>
      </c>
      <c r="G44" s="9">
        <v>312.41087080736327</v>
      </c>
      <c r="H44" s="9">
        <v>2081.4156574472299</v>
      </c>
      <c r="I44" s="24"/>
      <c r="J44" s="9">
        <v>5.7484888880709821</v>
      </c>
      <c r="K44" s="9">
        <v>5.9623619632321292</v>
      </c>
      <c r="L44" s="22">
        <v>292.59359970046319</v>
      </c>
      <c r="M44" s="22">
        <v>303.47957237238859</v>
      </c>
      <c r="N44" s="22">
        <v>767.12716943151815</v>
      </c>
    </row>
    <row r="45" spans="2:21" x14ac:dyDescent="0.25">
      <c r="B45" s="37">
        <v>41</v>
      </c>
      <c r="D45" s="9">
        <v>5.8206234923186724</v>
      </c>
      <c r="E45" s="9">
        <v>6.2692320775235517</v>
      </c>
      <c r="F45" s="9">
        <v>289.03921442012091</v>
      </c>
      <c r="G45" s="9">
        <v>311.3161188137579</v>
      </c>
      <c r="H45" s="9">
        <v>2133.7573536014252</v>
      </c>
      <c r="I45" s="24"/>
      <c r="J45" s="9">
        <v>5.8963389981490968</v>
      </c>
      <c r="K45" s="9">
        <v>6.1155603744625173</v>
      </c>
      <c r="L45" s="22">
        <v>292.79907800750613</v>
      </c>
      <c r="M45" s="22">
        <v>303.68512388856129</v>
      </c>
      <c r="N45" s="22">
        <v>786.31061618945034</v>
      </c>
    </row>
    <row r="46" spans="2:21" x14ac:dyDescent="0.25">
      <c r="B46" s="37">
        <v>42</v>
      </c>
      <c r="D46" s="9">
        <v>5.9413151323826767</v>
      </c>
      <c r="E46" s="9">
        <v>6.4010057245181118</v>
      </c>
      <c r="F46" s="9">
        <v>288.00790962086205</v>
      </c>
      <c r="G46" s="9">
        <v>310.29161677379471</v>
      </c>
      <c r="H46" s="9">
        <v>2186.4676996817298</v>
      </c>
      <c r="I46" s="24"/>
      <c r="J46" s="9">
        <v>6.0410219347455074</v>
      </c>
      <c r="K46" s="9">
        <v>6.2655913658831661</v>
      </c>
      <c r="L46" s="22">
        <v>292.84124148151074</v>
      </c>
      <c r="M46" s="22">
        <v>303.72734514468493</v>
      </c>
      <c r="N46" s="22">
        <v>805.49318282672243</v>
      </c>
    </row>
    <row r="47" spans="2:21" x14ac:dyDescent="0.25">
      <c r="B47" s="37">
        <v>43</v>
      </c>
      <c r="D47" s="9">
        <v>6.0616094414483905</v>
      </c>
      <c r="E47" s="9">
        <v>6.5322794587185635</v>
      </c>
      <c r="F47" s="9">
        <v>287.00575961428149</v>
      </c>
      <c r="G47" s="9">
        <v>309.29109606479608</v>
      </c>
      <c r="H47" s="9">
        <v>2238.690126742184</v>
      </c>
      <c r="I47" s="24"/>
      <c r="J47" s="9">
        <v>6.1875973728779101</v>
      </c>
      <c r="K47" s="9">
        <v>6.4175151051678387</v>
      </c>
      <c r="L47" s="22">
        <v>292.97105023741364</v>
      </c>
      <c r="M47" s="22">
        <v>303.85722065833352</v>
      </c>
      <c r="N47" s="22">
        <v>824.67662958465473</v>
      </c>
    </row>
    <row r="48" spans="2:21" x14ac:dyDescent="0.25">
      <c r="B48" s="37">
        <v>44</v>
      </c>
      <c r="D48" s="9">
        <v>6.1821299104242557</v>
      </c>
      <c r="E48" s="9">
        <v>6.6638386223112001</v>
      </c>
      <c r="F48" s="9">
        <v>286.05962675617025</v>
      </c>
      <c r="G48" s="9">
        <v>308.3492609638277</v>
      </c>
      <c r="H48" s="9">
        <v>2291.1944625696633</v>
      </c>
      <c r="I48" s="24"/>
      <c r="J48" s="9">
        <v>6.3226222702122818</v>
      </c>
      <c r="K48" s="9">
        <v>6.5578852984525566</v>
      </c>
      <c r="L48" s="22">
        <v>292.56049176311382</v>
      </c>
      <c r="M48" s="22">
        <v>303.4465868505788</v>
      </c>
      <c r="N48" s="22">
        <v>843.8493388705474</v>
      </c>
    </row>
    <row r="49" spans="2:32" x14ac:dyDescent="0.25">
      <c r="B49" s="37">
        <v>45</v>
      </c>
      <c r="D49" s="9">
        <v>6.3031004993573445</v>
      </c>
      <c r="E49" s="9">
        <v>6.7959653050273845</v>
      </c>
      <c r="F49" s="9">
        <v>285.17590936256192</v>
      </c>
      <c r="G49" s="9">
        <v>307.47496189457951</v>
      </c>
      <c r="H49" s="9">
        <v>2344.2571946087455</v>
      </c>
      <c r="I49" s="24"/>
      <c r="J49" s="9">
        <v>6.4696405825344048</v>
      </c>
      <c r="K49" s="9">
        <v>6.7102533898951027</v>
      </c>
      <c r="L49" s="22">
        <v>292.71080741316052</v>
      </c>
      <c r="M49" s="22">
        <v>303.5970333507546</v>
      </c>
      <c r="N49" s="22">
        <v>863.03806635243302</v>
      </c>
    </row>
    <row r="50" spans="2:32" x14ac:dyDescent="0.25">
      <c r="B50" s="37">
        <v>46</v>
      </c>
      <c r="D50" s="9">
        <v>6.4234851726619331</v>
      </c>
      <c r="E50" s="9">
        <v>6.9273544790167998</v>
      </c>
      <c r="F50" s="9">
        <v>284.30468172660022</v>
      </c>
      <c r="G50" s="9">
        <v>306.60603355110493</v>
      </c>
      <c r="H50" s="9">
        <v>2396.598890762943</v>
      </c>
      <c r="I50" s="24"/>
      <c r="J50" s="9">
        <v>6.6135307608464418</v>
      </c>
      <c r="K50" s="9">
        <v>6.8594906377192766</v>
      </c>
      <c r="L50" s="22">
        <v>292.71613579086647</v>
      </c>
      <c r="M50" s="22">
        <v>303.60236696167289</v>
      </c>
      <c r="N50" s="22">
        <v>882.2171125070696</v>
      </c>
    </row>
    <row r="51" spans="2:32" x14ac:dyDescent="0.25">
      <c r="B51" s="37">
        <v>47</v>
      </c>
      <c r="D51" s="9">
        <v>6.543595700186609</v>
      </c>
      <c r="E51" s="9">
        <v>7.0583988397669533</v>
      </c>
      <c r="F51" s="9">
        <v>283.45865202721421</v>
      </c>
      <c r="G51" s="9">
        <v>305.75914409469641</v>
      </c>
      <c r="H51" s="9">
        <v>2448.604464925686</v>
      </c>
      <c r="I51" s="24"/>
      <c r="J51" s="9">
        <v>6.7538953338768462</v>
      </c>
      <c r="K51" s="9">
        <v>7.0052014920121337</v>
      </c>
      <c r="L51" s="22">
        <v>292.56851354967216</v>
      </c>
      <c r="M51" s="22">
        <v>303.45471558521893</v>
      </c>
      <c r="N51" s="22">
        <v>901.393342275598</v>
      </c>
    </row>
    <row r="52" spans="2:32" x14ac:dyDescent="0.25">
      <c r="B52" s="37">
        <v>48</v>
      </c>
      <c r="D52" s="9">
        <v>6.6649423480154981</v>
      </c>
      <c r="E52" s="9">
        <v>7.1910007437815704</v>
      </c>
      <c r="F52" s="9">
        <v>282.70030486457011</v>
      </c>
      <c r="G52" s="9">
        <v>305.01360647983705</v>
      </c>
      <c r="H52" s="9">
        <v>2502.1388520172909</v>
      </c>
      <c r="I52" s="24"/>
      <c r="J52" s="9">
        <v>6.8974586262769417</v>
      </c>
      <c r="K52" s="9">
        <v>7.1541145635326586</v>
      </c>
      <c r="L52" s="22">
        <v>292.5627191688825</v>
      </c>
      <c r="M52" s="22">
        <v>303.44904164834054</v>
      </c>
      <c r="N52" s="22">
        <v>920.58206975748362</v>
      </c>
    </row>
    <row r="53" spans="2:32" x14ac:dyDescent="0.25">
      <c r="B53" s="37">
        <v>49</v>
      </c>
      <c r="D53" s="9">
        <v>6.7843906048402047</v>
      </c>
      <c r="E53" s="9">
        <v>7.3212118641720467</v>
      </c>
      <c r="F53" s="9">
        <v>281.89403177299153</v>
      </c>
      <c r="G53" s="9">
        <v>304.19916099514251</v>
      </c>
      <c r="H53" s="9">
        <v>2553.3312278136214</v>
      </c>
      <c r="I53" s="24"/>
      <c r="J53" s="9">
        <v>7.0469925140038274</v>
      </c>
      <c r="K53" s="9">
        <v>7.3089955207716768</v>
      </c>
      <c r="L53" s="22">
        <v>292.80524181927126</v>
      </c>
      <c r="M53" s="22">
        <v>303.69156724129863</v>
      </c>
      <c r="N53" s="22">
        <v>939.76111591212009</v>
      </c>
    </row>
    <row r="54" spans="2:32" x14ac:dyDescent="0.25">
      <c r="B54" s="37">
        <v>50</v>
      </c>
      <c r="D54" s="9">
        <v>6.9054482296595641</v>
      </c>
      <c r="E54" s="9">
        <v>7.4534506583245985</v>
      </c>
      <c r="F54" s="9">
        <v>281.18554206537539</v>
      </c>
      <c r="G54" s="9">
        <v>303.49985893991033</v>
      </c>
      <c r="H54" s="9">
        <v>2606.5132289464445</v>
      </c>
      <c r="I54" s="24"/>
      <c r="J54" s="9">
        <v>7.1859782609552028</v>
      </c>
      <c r="K54" s="9">
        <v>7.4533287806256379</v>
      </c>
      <c r="L54" s="22">
        <v>292.60854985459883</v>
      </c>
      <c r="M54" s="22">
        <v>303.49489615607524</v>
      </c>
      <c r="N54" s="22">
        <v>958.94174628394455</v>
      </c>
      <c r="AD54" s="26"/>
    </row>
    <row r="55" spans="2:32" x14ac:dyDescent="0.25">
      <c r="B55" s="37">
        <v>51</v>
      </c>
      <c r="D55" s="9">
        <v>7.0257270488207517</v>
      </c>
      <c r="E55" s="9">
        <v>7.5847089026205214</v>
      </c>
      <c r="F55" s="9">
        <v>280.4737456008711</v>
      </c>
      <c r="G55" s="9">
        <v>302.78883600627694</v>
      </c>
      <c r="H55" s="9">
        <v>2658.7356560068997</v>
      </c>
      <c r="I55" s="24"/>
      <c r="J55" s="9">
        <v>7.3324872521163051</v>
      </c>
      <c r="K55" s="9">
        <v>7.6051863192670357</v>
      </c>
      <c r="L55" s="22">
        <v>292.71990640696589</v>
      </c>
      <c r="M55" s="22">
        <v>303.60631407042138</v>
      </c>
      <c r="N55" s="22">
        <v>978.12607316253434</v>
      </c>
    </row>
    <row r="56" spans="2:32" x14ac:dyDescent="0.25">
      <c r="B56" s="37">
        <v>52</v>
      </c>
      <c r="D56" s="9">
        <v>5.9930036348499236</v>
      </c>
      <c r="E56" s="9">
        <v>6.3638560379377891</v>
      </c>
      <c r="F56" s="9">
        <v>391.07590968273627</v>
      </c>
      <c r="G56" s="9">
        <v>415.2760353179425</v>
      </c>
      <c r="H56" s="9">
        <v>1763.918632605104</v>
      </c>
      <c r="I56" s="24"/>
      <c r="J56" s="9">
        <v>5.9237925840433556</v>
      </c>
      <c r="K56" s="9">
        <v>6.0907673829917854</v>
      </c>
      <c r="L56" s="22">
        <v>386.55951418167552</v>
      </c>
      <c r="M56" s="22">
        <v>397.45552315672836</v>
      </c>
      <c r="N56" s="22">
        <v>598.90871485266075</v>
      </c>
    </row>
    <row r="57" spans="2:32" x14ac:dyDescent="0.25">
      <c r="B57" s="37">
        <v>53</v>
      </c>
      <c r="D57" s="9">
        <v>6.0920882342708529</v>
      </c>
      <c r="E57" s="9">
        <v>6.470336409031118</v>
      </c>
      <c r="F57" s="9">
        <v>390.04092875708983</v>
      </c>
      <c r="G57" s="9">
        <v>414.25795643476357</v>
      </c>
      <c r="H57" s="9">
        <v>1799.0958064532888</v>
      </c>
      <c r="I57" s="24"/>
      <c r="J57" s="9">
        <v>6.0341709890702786</v>
      </c>
      <c r="K57" s="9">
        <v>6.2043572615497</v>
      </c>
      <c r="L57" s="22">
        <v>386.33282486227029</v>
      </c>
      <c r="M57" s="22">
        <v>397.22886070859374</v>
      </c>
      <c r="N57" s="22">
        <v>610.42768972848762</v>
      </c>
      <c r="P57" s="28"/>
    </row>
    <row r="58" spans="2:32" x14ac:dyDescent="0.25">
      <c r="B58" s="37">
        <v>54</v>
      </c>
      <c r="D58" s="9">
        <v>6.1901091518831208</v>
      </c>
      <c r="E58" s="9">
        <v>6.575477267264783</v>
      </c>
      <c r="F58" s="9">
        <v>388.97744024322503</v>
      </c>
      <c r="G58" s="9">
        <v>413.19341114042857</v>
      </c>
      <c r="H58" s="9">
        <v>1832.9610202703291</v>
      </c>
      <c r="I58" s="24"/>
      <c r="J58" s="9">
        <v>6.1503041459557366</v>
      </c>
      <c r="K58" s="9">
        <v>6.3237023353565984</v>
      </c>
      <c r="L58" s="22">
        <v>386.47615166581926</v>
      </c>
      <c r="M58" s="22">
        <v>397.37224125019088</v>
      </c>
      <c r="N58" s="22">
        <v>621.94824882150215</v>
      </c>
    </row>
    <row r="59" spans="2:32" x14ac:dyDescent="0.25">
      <c r="B59" s="37">
        <v>55</v>
      </c>
      <c r="D59" s="9">
        <v>6.2885460258873858</v>
      </c>
      <c r="E59" s="9">
        <v>6.6811423626749384</v>
      </c>
      <c r="F59" s="9">
        <v>387.97828689452274</v>
      </c>
      <c r="G59" s="9">
        <v>412.1999199335217</v>
      </c>
      <c r="H59" s="9">
        <v>1867.3412597194288</v>
      </c>
      <c r="I59" s="24"/>
      <c r="J59" s="9">
        <v>6.2619260663416405</v>
      </c>
      <c r="K59" s="9">
        <v>6.4385357292734984</v>
      </c>
      <c r="L59" s="22">
        <v>386.33594123000125</v>
      </c>
      <c r="M59" s="22">
        <v>397.23205524288267</v>
      </c>
      <c r="N59" s="22">
        <v>633.46722369732868</v>
      </c>
    </row>
    <row r="60" spans="2:32" x14ac:dyDescent="0.25">
      <c r="B60" s="37">
        <v>56</v>
      </c>
      <c r="D60" s="9">
        <v>6.3870564220618968</v>
      </c>
      <c r="E60" s="9">
        <v>6.7869003568167665</v>
      </c>
      <c r="F60" s="9">
        <v>387.01927261911538</v>
      </c>
      <c r="G60" s="9">
        <v>411.24753968991712</v>
      </c>
      <c r="H60" s="9">
        <v>1901.8136616500565</v>
      </c>
      <c r="I60" s="24"/>
      <c r="J60" s="9">
        <v>6.375923277101923</v>
      </c>
      <c r="K60" s="9">
        <v>6.5557446598927998</v>
      </c>
      <c r="L60" s="22">
        <v>386.34466738946855</v>
      </c>
      <c r="M60" s="22">
        <v>397.24081988448938</v>
      </c>
      <c r="N60" s="22">
        <v>644.98707869381599</v>
      </c>
      <c r="AE60" s="26"/>
      <c r="AF60" s="26"/>
    </row>
    <row r="61" spans="2:32" x14ac:dyDescent="0.25">
      <c r="B61" s="37">
        <v>57</v>
      </c>
      <c r="D61" s="9">
        <v>6.4850739978421217</v>
      </c>
      <c r="E61" s="9">
        <v>6.8920378732183973</v>
      </c>
      <c r="F61" s="9">
        <v>386.06456975267736</v>
      </c>
      <c r="G61" s="9">
        <v>410.29163848069851</v>
      </c>
      <c r="H61" s="9">
        <v>1935.6788754670963</v>
      </c>
      <c r="I61" s="24"/>
      <c r="J61" s="9">
        <v>6.4879541661988016</v>
      </c>
      <c r="K61" s="9">
        <v>6.6709862342709823</v>
      </c>
      <c r="L61" s="22">
        <v>386.23602977885542</v>
      </c>
      <c r="M61" s="22">
        <v>397.1321578160593</v>
      </c>
      <c r="N61" s="22">
        <v>656.50323718353457</v>
      </c>
    </row>
    <row r="62" spans="2:32" x14ac:dyDescent="0.25">
      <c r="B62" s="37">
        <v>58</v>
      </c>
      <c r="D62" s="9">
        <v>6.5844383764056937</v>
      </c>
      <c r="E62" s="9">
        <v>6.9988721103069054</v>
      </c>
      <c r="F62" s="9">
        <v>385.22158217009309</v>
      </c>
      <c r="G62" s="9">
        <v>409.46796577209642</v>
      </c>
      <c r="H62" s="9">
        <v>1971.2084352740599</v>
      </c>
      <c r="I62" s="24"/>
      <c r="J62" s="9">
        <v>6.5976024384110952</v>
      </c>
      <c r="K62" s="9">
        <v>6.7838474579824295</v>
      </c>
      <c r="L62" s="22">
        <v>385.99174364835636</v>
      </c>
      <c r="M62" s="22">
        <v>396.88798065585246</v>
      </c>
      <c r="N62" s="22">
        <v>668.02749278331601</v>
      </c>
    </row>
    <row r="63" spans="2:32" x14ac:dyDescent="0.25">
      <c r="B63" s="37">
        <v>59</v>
      </c>
      <c r="D63" s="9">
        <v>6.6819050490622383</v>
      </c>
      <c r="E63" s="9">
        <v>7.1033162488684285</v>
      </c>
      <c r="F63" s="9">
        <v>384.29802721723917</v>
      </c>
      <c r="G63" s="9">
        <v>408.53475185544647</v>
      </c>
      <c r="H63" s="9">
        <v>2004.3959837857549</v>
      </c>
      <c r="I63" s="24"/>
      <c r="J63" s="9">
        <v>6.7185399385797346</v>
      </c>
      <c r="K63" s="9">
        <v>6.9079971706661389</v>
      </c>
      <c r="L63" s="22">
        <v>386.40501851171604</v>
      </c>
      <c r="M63" s="22">
        <v>397.30131829422521</v>
      </c>
      <c r="N63" s="22">
        <v>679.54910802112113</v>
      </c>
    </row>
    <row r="64" spans="2:32" x14ac:dyDescent="0.25">
      <c r="B64" s="37">
        <v>60</v>
      </c>
      <c r="D64" s="9">
        <v>6.7809819889902592</v>
      </c>
      <c r="E64" s="9">
        <v>7.2097889604688516</v>
      </c>
      <c r="F64" s="9">
        <v>383.49632559377238</v>
      </c>
      <c r="G64" s="9">
        <v>407.74737038610942</v>
      </c>
      <c r="H64" s="9">
        <v>2039.5731576339394</v>
      </c>
      <c r="I64" s="24"/>
      <c r="J64" s="9">
        <v>6.8265676349574393</v>
      </c>
      <c r="K64" s="9">
        <v>7.0192360449812057</v>
      </c>
      <c r="L64" s="22">
        <v>386.07440761148251</v>
      </c>
      <c r="M64" s="22">
        <v>396.97070956628409</v>
      </c>
      <c r="N64" s="22">
        <v>691.06702675215888</v>
      </c>
    </row>
    <row r="65" spans="2:29" x14ac:dyDescent="0.25">
      <c r="B65" s="37">
        <v>61</v>
      </c>
      <c r="D65" s="9">
        <v>6.8799613415409162</v>
      </c>
      <c r="E65" s="9">
        <v>7.3161390091418133</v>
      </c>
      <c r="F65" s="9">
        <v>382.71548072148516</v>
      </c>
      <c r="G65" s="9">
        <v>406.97898126296718</v>
      </c>
      <c r="H65" s="9">
        <v>2074.6310623883846</v>
      </c>
      <c r="I65" s="24"/>
      <c r="J65" s="9">
        <v>6.9398707847099725</v>
      </c>
      <c r="K65" s="9">
        <v>7.1357518999048626</v>
      </c>
      <c r="L65" s="22">
        <v>386.04809702613824</v>
      </c>
      <c r="M65" s="22">
        <v>396.94448603830131</v>
      </c>
      <c r="N65" s="22">
        <v>702.59040223128181</v>
      </c>
    </row>
    <row r="66" spans="2:29" x14ac:dyDescent="0.25">
      <c r="B66" s="37">
        <v>62</v>
      </c>
      <c r="D66" s="9">
        <v>6.9779738390823276</v>
      </c>
      <c r="E66" s="9">
        <v>7.4212714473046315</v>
      </c>
      <c r="F66" s="9">
        <v>381.90690808628739</v>
      </c>
      <c r="G66" s="9">
        <v>406.1687386437506</v>
      </c>
      <c r="H66" s="9">
        <v>2108.496276205422</v>
      </c>
      <c r="I66" s="24"/>
      <c r="J66" s="9">
        <v>7.0583287322269213</v>
      </c>
      <c r="K66" s="9">
        <v>7.2574223062649157</v>
      </c>
      <c r="L66" s="22">
        <v>386.30475902384427</v>
      </c>
      <c r="M66" s="22">
        <v>397.20121880344959</v>
      </c>
      <c r="N66" s="22">
        <v>714.11289758974385</v>
      </c>
    </row>
    <row r="67" spans="2:29" x14ac:dyDescent="0.25">
      <c r="B67" s="37">
        <v>63</v>
      </c>
      <c r="D67" s="9">
        <v>7.0759283144874212</v>
      </c>
      <c r="E67" s="9">
        <v>7.526331045960621</v>
      </c>
      <c r="F67" s="9">
        <v>381.12087925805622</v>
      </c>
      <c r="G67" s="9">
        <v>405.38029475945973</v>
      </c>
      <c r="H67" s="9">
        <v>2142.2910128307049</v>
      </c>
      <c r="I67" s="24"/>
      <c r="J67" s="9">
        <v>7.1746827938323872</v>
      </c>
      <c r="K67" s="9">
        <v>7.376988087729397</v>
      </c>
      <c r="L67" s="22">
        <v>386.43995434274376</v>
      </c>
      <c r="M67" s="22">
        <v>397.33644284033437</v>
      </c>
      <c r="N67" s="22">
        <v>725.63275258623116</v>
      </c>
    </row>
    <row r="68" spans="2:29" x14ac:dyDescent="0.25">
      <c r="B68" s="37">
        <v>64</v>
      </c>
      <c r="D68" s="9">
        <v>7.1742243072361251</v>
      </c>
      <c r="E68" s="9">
        <v>7.6318210661832637</v>
      </c>
      <c r="F68" s="9">
        <v>380.37752108732587</v>
      </c>
      <c r="G68" s="9">
        <v>404.63931070691524</v>
      </c>
      <c r="H68" s="9">
        <v>2176.5086126065244</v>
      </c>
      <c r="I68" s="24"/>
      <c r="J68" s="9">
        <v>7.281988318069426</v>
      </c>
      <c r="K68" s="9">
        <v>7.4875042972477432</v>
      </c>
      <c r="L68" s="22">
        <v>386.09117116958691</v>
      </c>
      <c r="M68" s="22">
        <v>396.98763263439429</v>
      </c>
      <c r="N68" s="22">
        <v>737.14891107594974</v>
      </c>
    </row>
    <row r="69" spans="2:29" x14ac:dyDescent="0.25">
      <c r="B69" s="37">
        <v>65</v>
      </c>
      <c r="D69" s="9">
        <v>7.2732964714611281</v>
      </c>
      <c r="E69" s="9">
        <v>7.7382890020806636</v>
      </c>
      <c r="F69" s="9">
        <v>379.69755498606543</v>
      </c>
      <c r="G69" s="9">
        <v>403.97217759436842</v>
      </c>
      <c r="H69" s="9">
        <v>2211.6857864547082</v>
      </c>
      <c r="I69" s="24"/>
      <c r="J69" s="9">
        <v>7.4004178627387383</v>
      </c>
      <c r="K69" s="9">
        <v>7.609148025056343</v>
      </c>
      <c r="L69" s="22">
        <v>386.33384179823202</v>
      </c>
      <c r="M69" s="22">
        <v>397.23045966535955</v>
      </c>
      <c r="N69" s="22">
        <v>748.67756727902713</v>
      </c>
    </row>
    <row r="70" spans="2:29" x14ac:dyDescent="0.25">
      <c r="B70" s="37">
        <v>66</v>
      </c>
      <c r="D70" s="9">
        <v>7.3719857814645113</v>
      </c>
      <c r="E70" s="9">
        <v>7.8442749213538203</v>
      </c>
      <c r="F70" s="9">
        <v>379.01851009878658</v>
      </c>
      <c r="G70" s="9">
        <v>403.30047854570921</v>
      </c>
      <c r="H70" s="9">
        <v>2246.3913052503731</v>
      </c>
      <c r="I70" s="24"/>
      <c r="J70" s="9">
        <v>7.5144647076203208</v>
      </c>
      <c r="K70" s="9">
        <v>7.7264063434689181</v>
      </c>
      <c r="L70" s="22">
        <v>386.34382947851577</v>
      </c>
      <c r="M70" s="22">
        <v>397.24045969845042</v>
      </c>
      <c r="N70" s="22">
        <v>760.19654215485411</v>
      </c>
    </row>
    <row r="71" spans="2:29" x14ac:dyDescent="0.25">
      <c r="B71" s="37">
        <v>67</v>
      </c>
      <c r="D71" s="9">
        <v>7.4701122592055871</v>
      </c>
      <c r="E71" s="9">
        <v>7.949552114255046</v>
      </c>
      <c r="F71" s="9">
        <v>378.33123001107271</v>
      </c>
      <c r="G71" s="9">
        <v>402.6129360662481</v>
      </c>
      <c r="H71" s="9">
        <v>2280.4028947733668</v>
      </c>
      <c r="I71" s="24"/>
      <c r="J71" s="9">
        <v>7.6206459863144955</v>
      </c>
      <c r="K71" s="9">
        <v>7.8357983074443966</v>
      </c>
      <c r="L71" s="22">
        <v>385.95515963342632</v>
      </c>
      <c r="M71" s="22">
        <v>396.85176191574186</v>
      </c>
      <c r="N71" s="22">
        <v>771.71270064457428</v>
      </c>
    </row>
    <row r="72" spans="2:29" x14ac:dyDescent="0.25">
      <c r="B72" s="37">
        <v>68</v>
      </c>
      <c r="D72" s="9">
        <v>7.5687998306725026</v>
      </c>
      <c r="E72" s="9">
        <v>8.0555362949917324</v>
      </c>
      <c r="F72" s="9">
        <v>377.69216329153272</v>
      </c>
      <c r="G72" s="9">
        <v>401.98089496291419</v>
      </c>
      <c r="H72" s="9">
        <v>2315.1084135690307</v>
      </c>
      <c r="I72" s="24"/>
      <c r="J72" s="9">
        <v>7.7425554313126685</v>
      </c>
      <c r="K72" s="9">
        <v>7.9609219355818599</v>
      </c>
      <c r="L72" s="22">
        <v>386.3627755626955</v>
      </c>
      <c r="M72" s="22">
        <v>397.25952527638333</v>
      </c>
      <c r="N72" s="22">
        <v>783.24135684764997</v>
      </c>
    </row>
    <row r="73" spans="2:29" x14ac:dyDescent="0.25">
      <c r="B73" s="37">
        <v>69</v>
      </c>
      <c r="D73" s="9">
        <v>7.6671880213341277</v>
      </c>
      <c r="E73" s="9">
        <v>8.1611435886773833</v>
      </c>
      <c r="F73" s="9">
        <v>377.0568972987171</v>
      </c>
      <c r="G73" s="9">
        <v>401.34863934386226</v>
      </c>
      <c r="H73" s="9">
        <v>2349.4452824385912</v>
      </c>
      <c r="I73" s="24"/>
      <c r="J73" s="9">
        <v>7.853482044305875</v>
      </c>
      <c r="K73" s="9">
        <v>8.0750595294500069</v>
      </c>
      <c r="L73" s="22">
        <v>386.21846293289343</v>
      </c>
      <c r="M73" s="22">
        <v>397.11519832365553</v>
      </c>
      <c r="N73" s="22">
        <v>794.75857148215937</v>
      </c>
    </row>
    <row r="74" spans="2:29" x14ac:dyDescent="0.25">
      <c r="B74" s="37">
        <v>70</v>
      </c>
      <c r="D74" s="9">
        <v>7.7655885552115773</v>
      </c>
      <c r="E74" s="9">
        <v>8.2667666449720638</v>
      </c>
      <c r="F74" s="9">
        <v>376.44038010574963</v>
      </c>
      <c r="G74" s="9">
        <v>400.73521227059518</v>
      </c>
      <c r="H74" s="9">
        <v>2383.798415275478</v>
      </c>
      <c r="I74" s="24"/>
      <c r="J74" s="9">
        <v>7.9639439438321231</v>
      </c>
      <c r="K74" s="9">
        <v>8.1887328532416426</v>
      </c>
      <c r="L74" s="22">
        <v>386.05574632782822</v>
      </c>
      <c r="M74" s="22">
        <v>396.95248929844149</v>
      </c>
      <c r="N74" s="22">
        <v>806.27737033385608</v>
      </c>
    </row>
    <row r="75" spans="2:29" x14ac:dyDescent="0.25">
      <c r="B75" s="37">
        <v>71</v>
      </c>
      <c r="D75" s="9">
        <v>7.8646555846291664</v>
      </c>
      <c r="E75" s="9">
        <v>8.3732294460620587</v>
      </c>
      <c r="F75" s="9">
        <v>375.87308321213737</v>
      </c>
      <c r="G75" s="9">
        <v>400.17919849981627</v>
      </c>
      <c r="H75" s="9">
        <v>2418.9755891236609</v>
      </c>
      <c r="I75" s="24"/>
      <c r="J75" s="9">
        <v>8.0784007309111363</v>
      </c>
      <c r="K75" s="9">
        <v>8.3064025918198094</v>
      </c>
      <c r="L75" s="22">
        <v>386.08853973024014</v>
      </c>
      <c r="M75" s="22">
        <v>396.98536305780476</v>
      </c>
      <c r="N75" s="22">
        <v>817.80162593363752</v>
      </c>
      <c r="O75" s="28"/>
    </row>
    <row r="76" spans="2:29" x14ac:dyDescent="0.25">
      <c r="B76" s="37">
        <v>72</v>
      </c>
      <c r="D76" s="9">
        <v>7.9623959808729037</v>
      </c>
      <c r="E76" s="9">
        <v>8.4780213950633083</v>
      </c>
      <c r="F76" s="9">
        <v>375.25902179374424</v>
      </c>
      <c r="G76" s="9">
        <v>399.55988412285853</v>
      </c>
      <c r="H76" s="9">
        <v>2452.5155235941365</v>
      </c>
      <c r="I76" s="24"/>
      <c r="J76" s="9">
        <v>8.1943805334059814</v>
      </c>
      <c r="K76" s="9">
        <v>8.4255946068297245</v>
      </c>
      <c r="L76" s="22">
        <v>386.19220025710405</v>
      </c>
      <c r="M76" s="22">
        <v>397.08906688196998</v>
      </c>
      <c r="N76" s="22">
        <v>829.32324117144265</v>
      </c>
    </row>
    <row r="77" spans="2:29" x14ac:dyDescent="0.25">
      <c r="B77" s="37">
        <v>73</v>
      </c>
      <c r="D77" s="9">
        <v>8.0614614231114068</v>
      </c>
      <c r="E77" s="9">
        <v>8.5844826089742128</v>
      </c>
      <c r="F77" s="9">
        <v>374.72337649402368</v>
      </c>
      <c r="G77" s="9">
        <v>399.03513021432803</v>
      </c>
      <c r="H77" s="9">
        <v>2487.6926974423186</v>
      </c>
      <c r="I77" s="24"/>
      <c r="J77" s="9">
        <v>8.3049512203766032</v>
      </c>
      <c r="K77" s="9">
        <v>8.5393767673313352</v>
      </c>
      <c r="L77" s="22">
        <v>386.04158719853433</v>
      </c>
      <c r="M77" s="22">
        <v>396.93846158405131</v>
      </c>
      <c r="N77" s="22">
        <v>840.84221604726952</v>
      </c>
    </row>
    <row r="78" spans="2:29" x14ac:dyDescent="0.25">
      <c r="B78" s="37">
        <v>74</v>
      </c>
      <c r="D78" s="9">
        <v>8.1601441485671025</v>
      </c>
      <c r="E78" s="9">
        <v>8.6904619436996828</v>
      </c>
      <c r="F78" s="9">
        <v>374.18465855765828</v>
      </c>
      <c r="G78" s="9">
        <v>398.5024622000829</v>
      </c>
      <c r="H78" s="9">
        <v>2522.398216237988</v>
      </c>
      <c r="I78" s="24"/>
      <c r="J78" s="9">
        <v>8.4213129380656184</v>
      </c>
      <c r="K78" s="9">
        <v>8.6589518799099547</v>
      </c>
      <c r="L78" s="22">
        <v>386.16059336287611</v>
      </c>
      <c r="M78" s="22">
        <v>397.05756340349001</v>
      </c>
      <c r="N78" s="22">
        <v>852.36805586423702</v>
      </c>
    </row>
    <row r="79" spans="2:29" x14ac:dyDescent="0.25">
      <c r="B79" s="37">
        <v>75</v>
      </c>
      <c r="D79" s="9">
        <v>8.2584310051254999</v>
      </c>
      <c r="E79" s="9">
        <v>8.7959428277320146</v>
      </c>
      <c r="F79" s="9">
        <v>373.64239583912138</v>
      </c>
      <c r="G79" s="9">
        <v>397.96144688718414</v>
      </c>
      <c r="H79" s="9">
        <v>2556.6158160138016</v>
      </c>
      <c r="I79" s="24"/>
      <c r="J79" s="9">
        <v>8.5341986154440832</v>
      </c>
      <c r="K79" s="9">
        <v>8.7750490308194102</v>
      </c>
      <c r="L79" s="22">
        <v>386.11915692731293</v>
      </c>
      <c r="M79" s="22">
        <v>397.01613314275056</v>
      </c>
      <c r="N79" s="22">
        <v>863.88703074006537</v>
      </c>
      <c r="R79" s="29"/>
      <c r="S79" s="29"/>
      <c r="T79" s="29"/>
      <c r="U79" s="29"/>
      <c r="V79" s="29"/>
      <c r="W79" s="29"/>
      <c r="X79" s="29"/>
      <c r="Y79" s="29"/>
      <c r="Z79" s="29"/>
      <c r="AA79" s="29"/>
      <c r="AB79" s="29"/>
      <c r="AC79" s="29"/>
    </row>
    <row r="80" spans="2:29" x14ac:dyDescent="0.25">
      <c r="B80" s="37">
        <v>76</v>
      </c>
      <c r="D80" s="9">
        <v>8.3569454031171357</v>
      </c>
      <c r="E80" s="9">
        <v>8.9017105226796289</v>
      </c>
      <c r="F80" s="9">
        <v>373.12456256180423</v>
      </c>
      <c r="G80" s="9">
        <v>397.4474744788626</v>
      </c>
      <c r="H80" s="9">
        <v>2591.1153245566452</v>
      </c>
      <c r="I80" s="24"/>
      <c r="J80" s="9">
        <v>8.6470860496287401</v>
      </c>
      <c r="K80" s="9">
        <v>8.8911479385350614</v>
      </c>
      <c r="L80" s="22">
        <v>386.07888936291761</v>
      </c>
      <c r="M80" s="22">
        <v>396.9758715906836</v>
      </c>
      <c r="N80" s="22">
        <v>875.40600561589349</v>
      </c>
      <c r="V80" s="29"/>
      <c r="W80" s="29"/>
      <c r="X80" s="29"/>
      <c r="Y80" s="29"/>
      <c r="Z80" s="29"/>
      <c r="AA80" s="29"/>
      <c r="AB80" s="29"/>
      <c r="AC80" s="29"/>
    </row>
    <row r="81" spans="2:29" x14ac:dyDescent="0.25">
      <c r="B81" s="37">
        <v>77</v>
      </c>
      <c r="D81" s="9">
        <v>8.4543747213276319</v>
      </c>
      <c r="E81" s="9">
        <v>9.006111607806444</v>
      </c>
      <c r="F81" s="9">
        <v>372.5723615649967</v>
      </c>
      <c r="G81" s="9">
        <v>396.88662743723955</v>
      </c>
      <c r="H81" s="9">
        <v>2624.2757664561268</v>
      </c>
      <c r="I81" s="24"/>
      <c r="J81" s="9">
        <v>8.7663944183249747</v>
      </c>
      <c r="K81" s="9">
        <v>9.013668716808791</v>
      </c>
      <c r="L81" s="22">
        <v>386.32262923078088</v>
      </c>
      <c r="M81" s="22">
        <v>397.21965856495922</v>
      </c>
      <c r="N81" s="22">
        <v>886.92832495022435</v>
      </c>
      <c r="V81" s="29"/>
      <c r="W81" s="29"/>
      <c r="X81" s="29"/>
      <c r="Y81" s="29"/>
      <c r="Z81" s="29"/>
      <c r="AA81" s="29"/>
      <c r="AB81" s="29"/>
      <c r="AC81" s="29"/>
    </row>
    <row r="82" spans="2:29" x14ac:dyDescent="0.25">
      <c r="B82" s="37">
        <v>78</v>
      </c>
      <c r="D82" s="9">
        <v>6.804703472667045</v>
      </c>
      <c r="E82" s="9">
        <v>7.0604380972720859</v>
      </c>
      <c r="F82" s="9">
        <v>888.08743089012978</v>
      </c>
      <c r="G82" s="9">
        <v>921.4635664803742</v>
      </c>
      <c r="H82" s="9">
        <v>1216.3735911837398</v>
      </c>
      <c r="I82" s="24"/>
      <c r="J82" s="9">
        <v>6.575986692402747</v>
      </c>
      <c r="K82" s="9">
        <v>6.6576834470163817</v>
      </c>
      <c r="L82" s="22">
        <v>858.23741632266604</v>
      </c>
      <c r="M82" s="22">
        <v>868.89972676842115</v>
      </c>
      <c r="N82" s="22">
        <v>293.02394403518747</v>
      </c>
      <c r="V82" s="29"/>
      <c r="W82" s="29"/>
      <c r="X82" s="29"/>
      <c r="Y82" s="29"/>
      <c r="Z82" s="29"/>
      <c r="AA82" s="29"/>
      <c r="AB82" s="29"/>
      <c r="AC82" s="29"/>
    </row>
    <row r="83" spans="2:29" x14ac:dyDescent="0.25">
      <c r="B83" s="37">
        <v>79</v>
      </c>
      <c r="D83" s="9">
        <v>6.8807270132518035</v>
      </c>
      <c r="E83" s="9">
        <v>7.1397961808174584</v>
      </c>
      <c r="F83" s="9">
        <v>886.64211886810574</v>
      </c>
      <c r="G83" s="9">
        <v>920.02545688186785</v>
      </c>
      <c r="H83" s="9">
        <v>1232.2339777161408</v>
      </c>
      <c r="I83" s="24"/>
      <c r="J83" s="9">
        <v>6.6588862157050723</v>
      </c>
      <c r="K83" s="9">
        <v>6.7416244994500127</v>
      </c>
      <c r="L83" s="22">
        <v>858.05598336099933</v>
      </c>
      <c r="M83" s="22">
        <v>868.71753802954515</v>
      </c>
      <c r="N83" s="22">
        <v>296.75962454447216</v>
      </c>
      <c r="V83" s="29"/>
      <c r="W83" s="29"/>
      <c r="X83" s="29"/>
      <c r="Y83" s="29"/>
      <c r="Z83" s="29"/>
      <c r="AA83" s="29"/>
      <c r="AB83" s="29"/>
      <c r="AC83" s="29"/>
    </row>
    <row r="84" spans="2:29" x14ac:dyDescent="0.25">
      <c r="B84" s="37">
        <v>80</v>
      </c>
      <c r="D84" s="9">
        <v>6.9568819161501292</v>
      </c>
      <c r="E84" s="9">
        <v>7.2193198206083338</v>
      </c>
      <c r="F84" s="9">
        <v>885.24965524482707</v>
      </c>
      <c r="G84" s="9">
        <v>918.64436673266641</v>
      </c>
      <c r="H84" s="9">
        <v>1248.2570039218251</v>
      </c>
      <c r="I84" s="24"/>
      <c r="J84" s="9">
        <v>6.7422801014903522</v>
      </c>
      <c r="K84" s="9">
        <v>6.8260691798323521</v>
      </c>
      <c r="L84" s="22">
        <v>857.94199288513403</v>
      </c>
      <c r="M84" s="22">
        <v>868.60398968334687</v>
      </c>
      <c r="N84" s="22">
        <v>300.52853774866298</v>
      </c>
      <c r="V84" s="29"/>
      <c r="W84" s="29"/>
      <c r="X84" s="29"/>
      <c r="Y84" s="29"/>
      <c r="Z84" s="29"/>
      <c r="AA84" s="29"/>
      <c r="AB84" s="29"/>
      <c r="AC84" s="29"/>
    </row>
    <row r="85" spans="2:29" x14ac:dyDescent="0.25">
      <c r="B85" s="37">
        <v>81</v>
      </c>
      <c r="D85" s="9">
        <v>7.0330145080591624</v>
      </c>
      <c r="E85" s="9">
        <v>7.2988154504212686</v>
      </c>
      <c r="F85" s="9">
        <v>883.88876945928587</v>
      </c>
      <c r="G85" s="9">
        <v>917.29385736239533</v>
      </c>
      <c r="H85" s="9">
        <v>1264.2529235152954</v>
      </c>
      <c r="I85" s="24"/>
      <c r="J85" s="9">
        <v>6.828792982667248</v>
      </c>
      <c r="K85" s="9">
        <v>6.913638646522414</v>
      </c>
      <c r="L85" s="22">
        <v>858.22280324111421</v>
      </c>
      <c r="M85" s="22">
        <v>868.88595903767384</v>
      </c>
      <c r="N85" s="22">
        <v>304.31822138717001</v>
      </c>
      <c r="V85" s="29"/>
      <c r="W85" s="29"/>
      <c r="X85" s="29"/>
      <c r="Y85" s="29"/>
      <c r="Z85" s="29"/>
      <c r="AA85" s="29"/>
      <c r="AB85" s="29"/>
      <c r="AC85" s="29"/>
    </row>
    <row r="86" spans="2:29" x14ac:dyDescent="0.25">
      <c r="B86" s="37">
        <v>82</v>
      </c>
      <c r="D86" s="9">
        <v>7.1090369789647747</v>
      </c>
      <c r="E86" s="9">
        <v>7.3781724642874877</v>
      </c>
      <c r="F86" s="9">
        <v>882.54740509982435</v>
      </c>
      <c r="G86" s="9">
        <v>915.95907884616497</v>
      </c>
      <c r="H86" s="9">
        <v>1280.1133100476941</v>
      </c>
      <c r="I86" s="24"/>
      <c r="J86" s="9">
        <v>6.9108354300295769</v>
      </c>
      <c r="K86" s="9">
        <v>6.9967284139321446</v>
      </c>
      <c r="L86" s="22">
        <v>857.94178506758794</v>
      </c>
      <c r="M86" s="22">
        <v>868.60492133819582</v>
      </c>
      <c r="N86" s="22">
        <v>308.07467233077074</v>
      </c>
      <c r="V86" s="29"/>
      <c r="W86" s="29"/>
      <c r="X86" s="29"/>
      <c r="Y86" s="29"/>
      <c r="Z86" s="29"/>
      <c r="AA86" s="29"/>
      <c r="AB86" s="29"/>
      <c r="AC86" s="29"/>
    </row>
    <row r="87" spans="2:29" x14ac:dyDescent="0.25">
      <c r="B87" s="37">
        <v>83</v>
      </c>
      <c r="D87" s="9">
        <v>7.1855728301646504</v>
      </c>
      <c r="E87" s="9">
        <v>7.458176214782549</v>
      </c>
      <c r="F87" s="9">
        <v>881.30132821037978</v>
      </c>
      <c r="G87" s="9">
        <v>914.73578508901028</v>
      </c>
      <c r="H87" s="9">
        <v>1296.6079913058979</v>
      </c>
      <c r="I87" s="24"/>
      <c r="J87" s="9">
        <v>6.9937334896134784</v>
      </c>
      <c r="K87" s="9">
        <v>7.0806830590292176</v>
      </c>
      <c r="L87" s="22">
        <v>857.77247816226497</v>
      </c>
      <c r="M87" s="22">
        <v>868.43673177496635</v>
      </c>
      <c r="N87" s="22">
        <v>311.86435596927731</v>
      </c>
      <c r="V87" s="29"/>
      <c r="W87" s="29"/>
      <c r="X87" s="29"/>
      <c r="Y87" s="29"/>
      <c r="Z87" s="29"/>
      <c r="AA87" s="29"/>
      <c r="AB87" s="29"/>
      <c r="AC87" s="29"/>
    </row>
    <row r="88" spans="2:29" x14ac:dyDescent="0.25">
      <c r="B88" s="37">
        <v>84</v>
      </c>
      <c r="D88" s="9">
        <v>7.2615946175155424</v>
      </c>
      <c r="E88" s="9">
        <v>7.5375325450940487</v>
      </c>
      <c r="F88" s="9">
        <v>880.02262113053041</v>
      </c>
      <c r="G88" s="9">
        <v>913.46315741593992</v>
      </c>
      <c r="H88" s="9">
        <v>1312.4683778382994</v>
      </c>
      <c r="I88" s="24"/>
      <c r="J88" s="9">
        <v>7.0785206481095022</v>
      </c>
      <c r="K88" s="9">
        <v>7.166521012122308</v>
      </c>
      <c r="L88" s="22">
        <v>857.83613966145117</v>
      </c>
      <c r="M88" s="22">
        <v>868.50078221973899</v>
      </c>
      <c r="N88" s="22">
        <v>315.63326917346842</v>
      </c>
      <c r="V88" s="29"/>
      <c r="W88" s="29"/>
      <c r="X88" s="29"/>
      <c r="Y88" s="29"/>
      <c r="Z88" s="29"/>
      <c r="AA88" s="29"/>
      <c r="AB88" s="29"/>
      <c r="AC88" s="29"/>
    </row>
    <row r="89" spans="2:29" x14ac:dyDescent="0.25">
      <c r="B89" s="37">
        <v>85</v>
      </c>
      <c r="D89" s="9">
        <v>7.3386786431188229</v>
      </c>
      <c r="E89" s="9">
        <v>7.6182269447089404</v>
      </c>
      <c r="F89" s="9">
        <v>878.90121797806103</v>
      </c>
      <c r="G89" s="9">
        <v>912.38072494375035</v>
      </c>
      <c r="H89" s="9">
        <v>1329.6407244018453</v>
      </c>
      <c r="I89" s="24"/>
      <c r="J89" s="9">
        <v>7.1531083300694522</v>
      </c>
      <c r="K89" s="9">
        <v>7.2421502232135602</v>
      </c>
      <c r="L89" s="22">
        <v>856.67678465823008</v>
      </c>
      <c r="M89" s="22">
        <v>867.34069735166963</v>
      </c>
      <c r="N89" s="22">
        <v>319.36894968275288</v>
      </c>
      <c r="V89" s="29"/>
      <c r="W89" s="29"/>
      <c r="X89" s="29"/>
      <c r="Y89" s="29"/>
      <c r="Z89" s="29"/>
      <c r="AA89" s="29"/>
      <c r="AB89" s="29"/>
      <c r="AC89" s="29"/>
    </row>
    <row r="90" spans="2:29" x14ac:dyDescent="0.25">
      <c r="B90" s="37">
        <v>86</v>
      </c>
      <c r="D90" s="9">
        <v>7.4146997683483704</v>
      </c>
      <c r="E90" s="9">
        <v>7.6975826128990992</v>
      </c>
      <c r="F90" s="9">
        <v>877.68007815518888</v>
      </c>
      <c r="G90" s="9">
        <v>911.16499930788314</v>
      </c>
      <c r="H90" s="9">
        <v>1345.501110934247</v>
      </c>
      <c r="I90" s="24"/>
      <c r="J90" s="9">
        <v>7.2415773799866816</v>
      </c>
      <c r="K90" s="9">
        <v>7.3316758586439565</v>
      </c>
      <c r="L90" s="22">
        <v>857.18753279329542</v>
      </c>
      <c r="M90" s="22">
        <v>867.85251482360559</v>
      </c>
      <c r="N90" s="22">
        <v>323.158633321259</v>
      </c>
    </row>
    <row r="91" spans="2:29" x14ac:dyDescent="0.25">
      <c r="B91" s="37">
        <v>87</v>
      </c>
      <c r="D91" s="9">
        <v>7.4902814944890856</v>
      </c>
      <c r="E91" s="9">
        <v>7.7763849022272833</v>
      </c>
      <c r="F91" s="9">
        <v>876.4355965562379</v>
      </c>
      <c r="G91" s="9">
        <v>909.9124706927156</v>
      </c>
      <c r="H91" s="9">
        <v>1360.8193652223713</v>
      </c>
      <c r="I91" s="24"/>
      <c r="J91" s="9">
        <v>7.3244523618498256</v>
      </c>
      <c r="K91" s="9">
        <v>7.415598160554504</v>
      </c>
      <c r="L91" s="22">
        <v>857.03197936267509</v>
      </c>
      <c r="M91" s="22">
        <v>867.69692199802239</v>
      </c>
      <c r="N91" s="22">
        <v>326.91508426486052</v>
      </c>
    </row>
    <row r="92" spans="2:29" x14ac:dyDescent="0.25">
      <c r="B92" s="37">
        <v>88</v>
      </c>
      <c r="D92" s="9">
        <v>7.5666839781772657</v>
      </c>
      <c r="E92" s="9">
        <v>7.8562210912787034</v>
      </c>
      <c r="F92" s="9">
        <v>875.31434390010224</v>
      </c>
      <c r="G92" s="9">
        <v>908.80801020360298</v>
      </c>
      <c r="H92" s="9">
        <v>1377.1514068072918</v>
      </c>
      <c r="I92" s="24"/>
      <c r="J92" s="9">
        <v>7.4087649988047639</v>
      </c>
      <c r="K92" s="9">
        <v>7.5009673830226067</v>
      </c>
      <c r="L92" s="22">
        <v>857.0462692431621</v>
      </c>
      <c r="M92" s="22">
        <v>867.71224520838371</v>
      </c>
      <c r="N92" s="22">
        <v>330.7047679033675</v>
      </c>
    </row>
    <row r="93" spans="2:29" x14ac:dyDescent="0.25">
      <c r="B93" s="37">
        <v>89</v>
      </c>
      <c r="D93" s="9">
        <v>7.6433847197243274</v>
      </c>
      <c r="E93" s="9">
        <v>7.9364330444347448</v>
      </c>
      <c r="F93" s="9">
        <v>874.25240274709404</v>
      </c>
      <c r="G93" s="9">
        <v>907.77134905081141</v>
      </c>
      <c r="H93" s="9">
        <v>1393.8520983183189</v>
      </c>
      <c r="I93" s="24"/>
      <c r="J93" s="9">
        <v>7.494041577328117</v>
      </c>
      <c r="K93" s="9">
        <v>7.5873092334332748</v>
      </c>
      <c r="L93" s="22">
        <v>857.17049389894214</v>
      </c>
      <c r="M93" s="22">
        <v>867.83847352295675</v>
      </c>
      <c r="N93" s="22">
        <v>334.52560719334753</v>
      </c>
    </row>
    <row r="94" spans="2:29" x14ac:dyDescent="0.25">
      <c r="B94" s="37">
        <v>90</v>
      </c>
      <c r="D94" s="9">
        <v>7.7188557431355855</v>
      </c>
      <c r="E94" s="9">
        <v>8.0150961360901878</v>
      </c>
      <c r="F94" s="9">
        <v>873.07496763361075</v>
      </c>
      <c r="G94" s="9">
        <v>906.58253405245694</v>
      </c>
      <c r="H94" s="9">
        <v>1409.0348195453782</v>
      </c>
      <c r="I94" s="24"/>
      <c r="J94" s="9">
        <v>7.5824748112862252</v>
      </c>
      <c r="K94" s="9">
        <v>7.6767955783548949</v>
      </c>
      <c r="L94" s="22">
        <v>857.64900533782463</v>
      </c>
      <c r="M94" s="22">
        <v>868.3175685803609</v>
      </c>
      <c r="N94" s="22">
        <v>338.30282857126497</v>
      </c>
    </row>
    <row r="95" spans="2:29" x14ac:dyDescent="0.25">
      <c r="B95" s="37">
        <v>91</v>
      </c>
      <c r="D95" s="9">
        <v>7.7959378664813483</v>
      </c>
      <c r="E95" s="9">
        <v>8.0957886334475599</v>
      </c>
      <c r="F95" s="9">
        <v>872.10363819242707</v>
      </c>
      <c r="G95" s="9">
        <v>905.6468692012769</v>
      </c>
      <c r="H95" s="9">
        <v>1426.2071661089244</v>
      </c>
      <c r="I95" s="24"/>
      <c r="J95" s="9">
        <v>7.6562569491999746</v>
      </c>
      <c r="K95" s="9">
        <v>7.751616929033502</v>
      </c>
      <c r="L95" s="22">
        <v>856.47803441858355</v>
      </c>
      <c r="M95" s="22">
        <v>867.14561371117111</v>
      </c>
      <c r="N95" s="22">
        <v>342.03020090682304</v>
      </c>
    </row>
    <row r="96" spans="2:29" x14ac:dyDescent="0.25">
      <c r="B96" s="37">
        <v>92</v>
      </c>
      <c r="D96" s="9">
        <v>7.8719571320842139</v>
      </c>
      <c r="E96" s="9">
        <v>8.1751424420110297</v>
      </c>
      <c r="F96" s="9">
        <v>871.0358188914397</v>
      </c>
      <c r="G96" s="9">
        <v>904.58341833549798</v>
      </c>
      <c r="H96" s="9">
        <v>1442.0675526413261</v>
      </c>
      <c r="I96" s="24"/>
      <c r="J96" s="9">
        <v>7.7492548151455969</v>
      </c>
      <c r="K96" s="9">
        <v>7.8456858577825423</v>
      </c>
      <c r="L96" s="22">
        <v>857.45874887934622</v>
      </c>
      <c r="M96" s="22">
        <v>868.1288898341902</v>
      </c>
      <c r="N96" s="22">
        <v>345.8718106311199</v>
      </c>
    </row>
    <row r="97" spans="2:14" x14ac:dyDescent="0.25">
      <c r="B97" s="37">
        <v>93</v>
      </c>
      <c r="D97" s="9">
        <v>7.9480858724707071</v>
      </c>
      <c r="E97" s="9">
        <v>8.2546342203014227</v>
      </c>
      <c r="F97" s="9">
        <v>870.00294663150476</v>
      </c>
      <c r="G97" s="9">
        <v>903.55793964202155</v>
      </c>
      <c r="H97" s="9">
        <v>1458.0634722347959</v>
      </c>
      <c r="I97" s="24"/>
      <c r="J97" s="9">
        <v>7.8294245960297868</v>
      </c>
      <c r="K97" s="9">
        <v>7.9269029587141393</v>
      </c>
      <c r="L97" s="22">
        <v>857.01420169201845</v>
      </c>
      <c r="M97" s="22">
        <v>867.68425032120365</v>
      </c>
      <c r="N97" s="22">
        <v>349.62826157472142</v>
      </c>
    </row>
    <row r="98" spans="2:14" x14ac:dyDescent="0.25">
      <c r="B98" s="37">
        <v>94</v>
      </c>
      <c r="D98" s="9">
        <v>8.0246182687805767</v>
      </c>
      <c r="E98" s="9">
        <v>8.3346345159064814</v>
      </c>
      <c r="F98" s="9">
        <v>869.03576478473087</v>
      </c>
      <c r="G98" s="9">
        <v>902.60935014328948</v>
      </c>
      <c r="H98" s="9">
        <v>1474.5581534929966</v>
      </c>
      <c r="I98" s="24"/>
      <c r="J98" s="9">
        <v>7.9123750303973885</v>
      </c>
      <c r="K98" s="9">
        <v>8.0109099785949045</v>
      </c>
      <c r="L98" s="22">
        <v>856.88024719584598</v>
      </c>
      <c r="M98" s="22">
        <v>867.55120887859584</v>
      </c>
      <c r="N98" s="22">
        <v>353.41794521322748</v>
      </c>
    </row>
    <row r="99" spans="2:14" x14ac:dyDescent="0.25">
      <c r="B99" s="37">
        <v>95</v>
      </c>
      <c r="D99" s="9">
        <v>8.1006366665992893</v>
      </c>
      <c r="E99" s="9">
        <v>8.4139874566858062</v>
      </c>
      <c r="F99" s="9">
        <v>868.03386650904235</v>
      </c>
      <c r="G99" s="9">
        <v>901.61136283275425</v>
      </c>
      <c r="H99" s="9">
        <v>1490.418540025398</v>
      </c>
      <c r="I99" s="24"/>
      <c r="J99" s="9">
        <v>8.0016967956127907</v>
      </c>
      <c r="K99" s="9">
        <v>8.1012970156976287</v>
      </c>
      <c r="L99" s="22">
        <v>857.43184073020086</v>
      </c>
      <c r="M99" s="22">
        <v>868.10462704363601</v>
      </c>
      <c r="N99" s="22">
        <v>357.23878450320848</v>
      </c>
    </row>
    <row r="100" spans="2:14" x14ac:dyDescent="0.25">
      <c r="B100" s="37">
        <v>96</v>
      </c>
      <c r="D100" s="9">
        <v>8.1773353409709948</v>
      </c>
      <c r="E100" s="9">
        <v>8.4941973426664834</v>
      </c>
      <c r="F100" s="9">
        <v>867.12497766790409</v>
      </c>
      <c r="G100" s="9">
        <v>900.72503742910521</v>
      </c>
      <c r="H100" s="9">
        <v>1507.1192315364253</v>
      </c>
      <c r="I100" s="24"/>
      <c r="J100" s="9">
        <v>8.0833156138292956</v>
      </c>
      <c r="K100" s="9">
        <v>8.183968944877634</v>
      </c>
      <c r="L100" s="22">
        <v>857.15512191432947</v>
      </c>
      <c r="M100" s="22">
        <v>867.82840530044632</v>
      </c>
      <c r="N100" s="22">
        <v>361.01600588112598</v>
      </c>
    </row>
    <row r="101" spans="2:14" x14ac:dyDescent="0.25">
      <c r="B101" s="37">
        <v>97</v>
      </c>
      <c r="D101" s="9">
        <v>8.2531863346297758</v>
      </c>
      <c r="E101" s="9">
        <v>8.5733395669720824</v>
      </c>
      <c r="F101" s="9">
        <v>866.14586738644493</v>
      </c>
      <c r="G101" s="9">
        <v>899.74493905167242</v>
      </c>
      <c r="H101" s="9">
        <v>1522.7736078160026</v>
      </c>
      <c r="I101" s="24"/>
      <c r="J101" s="9">
        <v>8.163988584350804</v>
      </c>
      <c r="K101" s="9">
        <v>8.2656811281640081</v>
      </c>
      <c r="L101" s="22">
        <v>856.78484490957089</v>
      </c>
      <c r="M101" s="22">
        <v>867.4571565473492</v>
      </c>
      <c r="N101" s="22">
        <v>364.74337821668399</v>
      </c>
    </row>
    <row r="102" spans="2:14" x14ac:dyDescent="0.25">
      <c r="B102" s="37">
        <v>98</v>
      </c>
      <c r="D102" s="9">
        <v>8.3293136687922544</v>
      </c>
      <c r="E102" s="9">
        <v>8.6528299390384618</v>
      </c>
      <c r="F102" s="9">
        <v>865.21544408226134</v>
      </c>
      <c r="G102" s="9">
        <v>898.8210068644222</v>
      </c>
      <c r="H102" s="9">
        <v>1538.7695274094733</v>
      </c>
      <c r="I102" s="24"/>
      <c r="J102" s="9">
        <v>8.2549713271245171</v>
      </c>
      <c r="K102" s="9">
        <v>8.3577349337411366</v>
      </c>
      <c r="L102" s="22">
        <v>857.49306205681739</v>
      </c>
      <c r="M102" s="22">
        <v>868.16773023115024</v>
      </c>
      <c r="N102" s="22">
        <v>368.58498794098102</v>
      </c>
    </row>
    <row r="103" spans="2:14" x14ac:dyDescent="0.25">
      <c r="B103" s="37">
        <v>99</v>
      </c>
      <c r="D103" s="9">
        <v>8.4057129549203342</v>
      </c>
      <c r="E103" s="9">
        <v>8.7326629305297825</v>
      </c>
      <c r="F103" s="9">
        <v>864.33178113348515</v>
      </c>
      <c r="G103" s="9">
        <v>897.95097040102314</v>
      </c>
      <c r="H103" s="9">
        <v>1555.1015689943936</v>
      </c>
      <c r="I103" s="24"/>
      <c r="J103" s="9">
        <v>8.333037995986917</v>
      </c>
      <c r="K103" s="9">
        <v>8.4368489226509418</v>
      </c>
      <c r="L103" s="22">
        <v>856.85885444236419</v>
      </c>
      <c r="M103" s="22">
        <v>867.53339015704307</v>
      </c>
      <c r="N103" s="22">
        <v>372.34143888458232</v>
      </c>
    </row>
    <row r="104" spans="2:14" x14ac:dyDescent="0.25">
      <c r="B104" s="37">
        <v>100</v>
      </c>
      <c r="D104" s="9">
        <v>8.4824105389596554</v>
      </c>
      <c r="E104" s="9">
        <v>8.8128717261780753</v>
      </c>
      <c r="F104" s="9">
        <v>863.49615770561286</v>
      </c>
      <c r="G104" s="9">
        <v>897.13659094370257</v>
      </c>
      <c r="H104" s="9">
        <v>1571.8022605054205</v>
      </c>
      <c r="I104" s="24"/>
      <c r="J104" s="9">
        <v>8.4173464623986316</v>
      </c>
      <c r="K104" s="9">
        <v>8.5222139745758252</v>
      </c>
      <c r="L104" s="22">
        <v>856.87273623160354</v>
      </c>
      <c r="M104" s="22">
        <v>867.54808534577865</v>
      </c>
      <c r="N104" s="22">
        <v>376.13112252308832</v>
      </c>
    </row>
    <row r="105" spans="2:14" x14ac:dyDescent="0.25">
      <c r="B105" s="37">
        <v>101</v>
      </c>
      <c r="D105" s="9">
        <v>8.5578784780941763</v>
      </c>
      <c r="E105" s="9">
        <v>8.8915317335567821</v>
      </c>
      <c r="F105" s="9">
        <v>862.55314470929659</v>
      </c>
      <c r="G105" s="9">
        <v>896.1822346149828</v>
      </c>
      <c r="H105" s="9">
        <v>1586.9849817324771</v>
      </c>
      <c r="I105" s="24"/>
      <c r="J105" s="9">
        <v>8.5127992240628707</v>
      </c>
      <c r="K105" s="9">
        <v>8.6187377990434797</v>
      </c>
      <c r="L105" s="22">
        <v>858.00958260738298</v>
      </c>
      <c r="M105" s="22">
        <v>868.68718818795389</v>
      </c>
      <c r="N105" s="22">
        <v>379.97273224738541</v>
      </c>
    </row>
    <row r="106" spans="2:14" x14ac:dyDescent="0.25">
      <c r="B106" s="37">
        <v>102</v>
      </c>
      <c r="D106" s="9">
        <v>8.6349575251924673</v>
      </c>
      <c r="E106" s="9">
        <v>8.9722211546666877</v>
      </c>
      <c r="F106" s="9">
        <v>861.78941459221153</v>
      </c>
      <c r="G106" s="9">
        <v>895.44913149989316</v>
      </c>
      <c r="H106" s="9">
        <v>1604.1573282960233</v>
      </c>
      <c r="I106" s="24"/>
      <c r="J106" s="9">
        <v>8.5869176400280356</v>
      </c>
      <c r="K106" s="9">
        <v>8.6939035350560534</v>
      </c>
      <c r="L106" s="22">
        <v>856.99491914829673</v>
      </c>
      <c r="M106" s="22">
        <v>867.67236736698544</v>
      </c>
      <c r="N106" s="22">
        <v>383.72918319098682</v>
      </c>
    </row>
    <row r="107" spans="2:14" x14ac:dyDescent="0.25">
      <c r="B107" s="37">
        <v>103</v>
      </c>
      <c r="D107" s="9">
        <v>8.7116543288725694</v>
      </c>
      <c r="E107" s="9">
        <v>9.0524291699557562</v>
      </c>
      <c r="F107" s="9">
        <v>861.00273575550216</v>
      </c>
      <c r="G107" s="9">
        <v>894.68268440507654</v>
      </c>
      <c r="H107" s="9">
        <v>1620.8580198070499</v>
      </c>
      <c r="I107" s="24"/>
      <c r="J107" s="9">
        <v>8.6712197615267002</v>
      </c>
      <c r="K107" s="9">
        <v>8.779262242067885</v>
      </c>
      <c r="L107" s="22">
        <v>857.00644850745323</v>
      </c>
      <c r="M107" s="22">
        <v>867.68465815765296</v>
      </c>
      <c r="N107" s="22">
        <v>387.51886682949367</v>
      </c>
    </row>
    <row r="108" spans="2:14" x14ac:dyDescent="0.25">
      <c r="B108" s="37">
        <v>104</v>
      </c>
      <c r="D108" s="9">
        <v>8.7865507251740897</v>
      </c>
      <c r="E108" s="9">
        <v>9.1303694607963841</v>
      </c>
      <c r="F108" s="9">
        <v>860.05495587531379</v>
      </c>
      <c r="G108" s="9">
        <v>893.70900474428902</v>
      </c>
      <c r="H108" s="9">
        <v>1635.3359691165492</v>
      </c>
      <c r="I108" s="24"/>
      <c r="J108" s="9">
        <v>8.7625241500112594</v>
      </c>
      <c r="K108" s="9">
        <v>8.8716203206075583</v>
      </c>
      <c r="L108" s="22">
        <v>857.70315985343484</v>
      </c>
      <c r="M108" s="22">
        <v>868.38183287577783</v>
      </c>
      <c r="N108" s="22">
        <v>391.29816525084192</v>
      </c>
    </row>
    <row r="109" spans="2:14" x14ac:dyDescent="0.25">
      <c r="B109" s="37">
        <v>105</v>
      </c>
      <c r="D109" s="9">
        <v>8.8636290111660365</v>
      </c>
      <c r="E109" s="9">
        <v>9.2110581207999367</v>
      </c>
      <c r="F109" s="9">
        <v>859.33676510338478</v>
      </c>
      <c r="G109" s="9">
        <v>893.02032821274247</v>
      </c>
      <c r="H109" s="9">
        <v>1652.5083156800981</v>
      </c>
      <c r="I109" s="24"/>
      <c r="J109" s="9">
        <v>8.8402002400269666</v>
      </c>
      <c r="K109" s="9">
        <v>8.9503495215867694</v>
      </c>
      <c r="L109" s="22">
        <v>857.06532477396286</v>
      </c>
      <c r="M109" s="22">
        <v>867.74439619886357</v>
      </c>
      <c r="N109" s="22">
        <v>395.07538662875925</v>
      </c>
    </row>
    <row r="110" spans="2:14" x14ac:dyDescent="0.25">
      <c r="B110" s="37">
        <v>106</v>
      </c>
      <c r="D110" s="9">
        <v>8.9396445228579111</v>
      </c>
      <c r="E110" s="9">
        <v>9.2904081754524324</v>
      </c>
      <c r="F110" s="9">
        <v>858.53006022763054</v>
      </c>
      <c r="G110" s="9">
        <v>892.21609092131689</v>
      </c>
      <c r="H110" s="9">
        <v>1668.3687022124998</v>
      </c>
      <c r="I110" s="24"/>
      <c r="J110" s="9">
        <v>8.9293989580429987</v>
      </c>
      <c r="K110" s="9">
        <v>9.0406135114901236</v>
      </c>
      <c r="L110" s="22">
        <v>857.54611446165256</v>
      </c>
      <c r="M110" s="22">
        <v>868.22674466176989</v>
      </c>
      <c r="N110" s="22">
        <v>398.89622591874019</v>
      </c>
    </row>
    <row r="111" spans="2:14" x14ac:dyDescent="0.25">
      <c r="B111" s="37">
        <v>107</v>
      </c>
      <c r="D111" s="9">
        <v>9.0167223161477725</v>
      </c>
      <c r="E111" s="9">
        <v>9.3710963427538871</v>
      </c>
      <c r="F111" s="9">
        <v>857.83949806842293</v>
      </c>
      <c r="G111" s="9">
        <v>891.55419243888821</v>
      </c>
      <c r="H111" s="9">
        <v>1685.5410487760457</v>
      </c>
      <c r="I111" s="24"/>
      <c r="J111" s="9">
        <v>9.0097261751182831</v>
      </c>
      <c r="K111" s="9">
        <v>9.1219973140785715</v>
      </c>
      <c r="L111" s="22">
        <v>857.17389410517285</v>
      </c>
      <c r="M111" s="22">
        <v>867.85522753392718</v>
      </c>
      <c r="N111" s="22">
        <v>402.6859095572463</v>
      </c>
    </row>
    <row r="112" spans="2:14" x14ac:dyDescent="0.25">
      <c r="B112" s="37">
        <v>108</v>
      </c>
      <c r="D112" s="9">
        <v>9.0921885229538315</v>
      </c>
      <c r="E112" s="9">
        <v>9.4497546178041425</v>
      </c>
      <c r="F112" s="9">
        <v>857.00981947745811</v>
      </c>
      <c r="G112" s="9">
        <v>890.71321812843223</v>
      </c>
      <c r="H112" s="9">
        <v>1700.7237700031014</v>
      </c>
      <c r="I112" s="24"/>
      <c r="J112" s="9">
        <v>9.094500129906633</v>
      </c>
      <c r="K112" s="9">
        <v>9.2078185889143214</v>
      </c>
      <c r="L112" s="22">
        <v>857.22770649688403</v>
      </c>
      <c r="M112" s="22">
        <v>867.90885678896916</v>
      </c>
      <c r="N112" s="22">
        <v>406.44236050084777</v>
      </c>
    </row>
    <row r="113" spans="2:14" x14ac:dyDescent="0.25">
      <c r="B113" s="37">
        <v>109</v>
      </c>
      <c r="D113" s="9">
        <v>9.1688838570585247</v>
      </c>
      <c r="E113" s="9">
        <v>9.5299611635178092</v>
      </c>
      <c r="F113" s="9">
        <v>856.31015631126854</v>
      </c>
      <c r="G113" s="9">
        <v>890.03227228033199</v>
      </c>
      <c r="H113" s="9">
        <v>1717.4244615141292</v>
      </c>
      <c r="I113" s="24"/>
      <c r="J113" s="9">
        <v>9.183200173235166</v>
      </c>
      <c r="K113" s="9">
        <v>9.2975896950462751</v>
      </c>
      <c r="L113" s="22">
        <v>857.64720094332415</v>
      </c>
      <c r="M113" s="22">
        <v>868.3303888677774</v>
      </c>
      <c r="N113" s="22">
        <v>410.28397022514457</v>
      </c>
    </row>
    <row r="114" spans="2:14" x14ac:dyDescent="0.25">
      <c r="B114" s="37">
        <v>110</v>
      </c>
      <c r="D114" s="9">
        <v>9.2447096240582134</v>
      </c>
      <c r="E114" s="9">
        <v>9.6090724621756696</v>
      </c>
      <c r="F114" s="9">
        <v>855.54274104401122</v>
      </c>
      <c r="G114" s="9">
        <v>889.26234868277902</v>
      </c>
      <c r="H114" s="9">
        <v>1733.051731181492</v>
      </c>
      <c r="I114" s="24"/>
      <c r="J114" s="9">
        <v>9.2634439553881958</v>
      </c>
      <c r="K114" s="9">
        <v>9.3788726899641759</v>
      </c>
      <c r="L114" s="22">
        <v>857.27649167864115</v>
      </c>
      <c r="M114" s="22">
        <v>867.95873265648424</v>
      </c>
      <c r="N114" s="22">
        <v>414.0113425607027</v>
      </c>
    </row>
    <row r="115" spans="2:14" x14ac:dyDescent="0.25">
      <c r="B115" s="37">
        <v>111</v>
      </c>
      <c r="D115" s="9">
        <v>9.3214044920742527</v>
      </c>
      <c r="E115" s="9">
        <v>9.6892785418006753</v>
      </c>
      <c r="F115" s="9">
        <v>854.86885859904737</v>
      </c>
      <c r="G115" s="9">
        <v>888.60670028001221</v>
      </c>
      <c r="H115" s="9">
        <v>1749.7524226925193</v>
      </c>
      <c r="I115" s="24"/>
      <c r="J115" s="9">
        <v>9.3451278254987482</v>
      </c>
      <c r="K115" s="9">
        <v>9.4616096710382305</v>
      </c>
      <c r="L115" s="22">
        <v>857.04453276746335</v>
      </c>
      <c r="M115" s="22">
        <v>867.72711846884727</v>
      </c>
      <c r="N115" s="22">
        <v>417.78856393862026</v>
      </c>
    </row>
    <row r="116" spans="2:14" x14ac:dyDescent="0.25">
      <c r="B116" s="37">
        <v>112</v>
      </c>
      <c r="D116" s="9">
        <v>9.3979322895717647</v>
      </c>
      <c r="E116" s="9">
        <v>9.769274238593372</v>
      </c>
      <c r="F116" s="9">
        <v>854.19182448514994</v>
      </c>
      <c r="G116" s="9">
        <v>887.94363788080614</v>
      </c>
      <c r="H116" s="9">
        <v>1766.2471039507232</v>
      </c>
      <c r="I116" s="24"/>
      <c r="J116" s="9">
        <v>9.4325090329219616</v>
      </c>
      <c r="K116" s="9">
        <v>9.5500619412648593</v>
      </c>
      <c r="L116" s="22">
        <v>857.33455530901779</v>
      </c>
      <c r="M116" s="22">
        <v>868.01911124717617</v>
      </c>
      <c r="N116" s="22">
        <v>421.63017366291706</v>
      </c>
    </row>
    <row r="117" spans="2:14" x14ac:dyDescent="0.25">
      <c r="B117" s="37">
        <v>113</v>
      </c>
      <c r="D117" s="9">
        <v>9.4739461678727199</v>
      </c>
      <c r="E117" s="9">
        <v>9.8486226598549393</v>
      </c>
      <c r="F117" s="9">
        <v>853.4804757782789</v>
      </c>
      <c r="G117" s="9">
        <v>887.23399991422241</v>
      </c>
      <c r="H117" s="9">
        <v>1782.1074904831244</v>
      </c>
      <c r="I117" s="24"/>
      <c r="J117" s="9">
        <v>9.5172539985527074</v>
      </c>
      <c r="K117" s="9">
        <v>9.6358577014926681</v>
      </c>
      <c r="L117" s="22">
        <v>857.38195329131622</v>
      </c>
      <c r="M117" s="22">
        <v>868.06661869056995</v>
      </c>
      <c r="N117" s="22">
        <v>425.39908686710743</v>
      </c>
    </row>
    <row r="118" spans="2:14" x14ac:dyDescent="0.25">
      <c r="B118" s="37">
        <v>114</v>
      </c>
      <c r="D118" s="9">
        <v>9.5506403564505575</v>
      </c>
      <c r="E118" s="9">
        <v>9.928828060041754</v>
      </c>
      <c r="F118" s="9">
        <v>852.84235645634715</v>
      </c>
      <c r="G118" s="9">
        <v>886.61333727813974</v>
      </c>
      <c r="H118" s="9">
        <v>1798.8081819941517</v>
      </c>
      <c r="I118" s="24"/>
      <c r="J118" s="9">
        <v>9.6033256035122747</v>
      </c>
      <c r="K118" s="9">
        <v>9.7229968947059895</v>
      </c>
      <c r="L118" s="22">
        <v>857.54698447893327</v>
      </c>
      <c r="M118" s="22">
        <v>868.23325704000717</v>
      </c>
      <c r="N118" s="22">
        <v>429.22823433081504</v>
      </c>
    </row>
    <row r="119" spans="2:14" x14ac:dyDescent="0.25">
      <c r="B119" s="37">
        <v>115</v>
      </c>
      <c r="D119" s="9">
        <v>9.6264869530496195</v>
      </c>
      <c r="E119" s="9">
        <v>10.007965887287634</v>
      </c>
      <c r="F119" s="9">
        <v>852.14030569572287</v>
      </c>
      <c r="G119" s="9">
        <v>885.9089668099499</v>
      </c>
      <c r="H119" s="9">
        <v>1814.4625582737267</v>
      </c>
      <c r="I119" s="24"/>
      <c r="J119" s="9">
        <v>9.6867655160236481</v>
      </c>
      <c r="K119" s="9">
        <v>9.8074876018144401</v>
      </c>
      <c r="L119" s="22">
        <v>857.47618713721977</v>
      </c>
      <c r="M119" s="22">
        <v>868.16255232856304</v>
      </c>
      <c r="N119" s="22">
        <v>432.99714753500558</v>
      </c>
    </row>
    <row r="120" spans="2:14" x14ac:dyDescent="0.25">
      <c r="B120" s="37">
        <v>116</v>
      </c>
      <c r="D120" s="9">
        <v>9.7026099360071427</v>
      </c>
      <c r="E120" s="9">
        <v>10.087451908149053</v>
      </c>
      <c r="F120" s="9">
        <v>851.47461417238787</v>
      </c>
      <c r="G120" s="9">
        <v>885.24729718325648</v>
      </c>
      <c r="H120" s="9">
        <v>1830.4584778671972</v>
      </c>
      <c r="I120" s="24"/>
      <c r="J120" s="9">
        <v>9.7731252082532052</v>
      </c>
      <c r="K120" s="9">
        <v>9.8949038795571571</v>
      </c>
      <c r="L120" s="22">
        <v>857.66284235274134</v>
      </c>
      <c r="M120" s="22">
        <v>868.34980677229942</v>
      </c>
      <c r="N120" s="22">
        <v>436.78683117351147</v>
      </c>
    </row>
    <row r="121" spans="2:14" x14ac:dyDescent="0.25">
      <c r="B121" s="37">
        <v>117</v>
      </c>
      <c r="D121" s="9">
        <v>9.7786229419963355</v>
      </c>
      <c r="E121" s="9">
        <v>10.166799457098858</v>
      </c>
      <c r="F121" s="9">
        <v>850.81073320177904</v>
      </c>
      <c r="G121" s="9">
        <v>884.58489009330799</v>
      </c>
      <c r="H121" s="9">
        <v>1846.3188643995982</v>
      </c>
      <c r="I121" s="24"/>
      <c r="J121" s="9">
        <v>9.8570133504281117</v>
      </c>
      <c r="K121" s="9">
        <v>9.9798422372375164</v>
      </c>
      <c r="L121" s="22">
        <v>857.63126419775278</v>
      </c>
      <c r="M121" s="22">
        <v>868.31826336568804</v>
      </c>
      <c r="N121" s="22">
        <v>440.55366733427115</v>
      </c>
    </row>
    <row r="122" spans="2:14" x14ac:dyDescent="0.25">
      <c r="B122" s="37">
        <v>118</v>
      </c>
      <c r="D122" s="9">
        <v>9.8556982355890437</v>
      </c>
      <c r="E122" s="9">
        <v>10.247485124703179</v>
      </c>
      <c r="F122" s="9">
        <v>850.249747858251</v>
      </c>
      <c r="G122" s="9">
        <v>884.04914955670927</v>
      </c>
      <c r="H122" s="9">
        <v>1863.4912109631446</v>
      </c>
      <c r="I122" s="24"/>
      <c r="J122" s="9">
        <v>9.9374008340284998</v>
      </c>
      <c r="K122" s="9">
        <v>10.061286306351073</v>
      </c>
      <c r="L122" s="22">
        <v>857.29821992608095</v>
      </c>
      <c r="M122" s="22">
        <v>867.9858027931383</v>
      </c>
      <c r="N122" s="22">
        <v>444.34335097277813</v>
      </c>
    </row>
    <row r="123" spans="2:14" x14ac:dyDescent="0.25">
      <c r="B123" s="37">
        <v>119</v>
      </c>
      <c r="D123" s="9">
        <v>9.9318425331994717</v>
      </c>
      <c r="E123" s="9">
        <v>10.326998159206154</v>
      </c>
      <c r="F123" s="9">
        <v>849.6185488748182</v>
      </c>
      <c r="G123" s="9">
        <v>883.42210027278463</v>
      </c>
      <c r="H123" s="9">
        <v>1879.5142371688294</v>
      </c>
      <c r="I123" s="24"/>
      <c r="J123" s="9">
        <v>10.020843404843479</v>
      </c>
      <c r="K123" s="9">
        <v>10.145779671763119</v>
      </c>
      <c r="L123" s="22">
        <v>857.23212018970855</v>
      </c>
      <c r="M123" s="22">
        <v>867.91978156243727</v>
      </c>
      <c r="N123" s="22">
        <v>448.11226417696821</v>
      </c>
    </row>
    <row r="124" spans="2:14" x14ac:dyDescent="0.25">
      <c r="B124" s="37">
        <v>120</v>
      </c>
      <c r="D124" s="9">
        <v>10.008236880448568</v>
      </c>
      <c r="E124" s="9">
        <v>10.406826211818496</v>
      </c>
      <c r="F124" s="9">
        <v>849.01908209366093</v>
      </c>
      <c r="G124" s="9">
        <v>882.83222543693239</v>
      </c>
      <c r="H124" s="9">
        <v>1895.8462787537499</v>
      </c>
      <c r="I124" s="24"/>
      <c r="J124" s="9">
        <v>10.106904561593034</v>
      </c>
      <c r="K124" s="9">
        <v>10.232908416766437</v>
      </c>
      <c r="L124" s="22">
        <v>857.38926208422799</v>
      </c>
      <c r="M124" s="22">
        <v>868.0784252942409</v>
      </c>
      <c r="N124" s="22">
        <v>451.94141164067588</v>
      </c>
    </row>
    <row r="125" spans="2:14" x14ac:dyDescent="0.25">
      <c r="B125" s="37">
        <v>121</v>
      </c>
      <c r="D125" s="9">
        <v>10.084929573174067</v>
      </c>
      <c r="E125" s="9">
        <v>10.487030116152964</v>
      </c>
      <c r="F125" s="9">
        <v>848.45462394028129</v>
      </c>
      <c r="G125" s="9">
        <v>882.28372135776249</v>
      </c>
      <c r="H125" s="9">
        <v>1912.5469702647774</v>
      </c>
      <c r="I125" s="24"/>
      <c r="J125" s="9">
        <v>10.191186292340216</v>
      </c>
      <c r="K125" s="9">
        <v>10.318246733026774</v>
      </c>
      <c r="L125" s="22">
        <v>857.39410180644836</v>
      </c>
      <c r="M125" s="22">
        <v>868.08381635905789</v>
      </c>
      <c r="N125" s="22">
        <v>455.73109527918263</v>
      </c>
    </row>
    <row r="126" spans="2:14" x14ac:dyDescent="0.25">
      <c r="B126" s="37">
        <v>122</v>
      </c>
      <c r="D126" s="9">
        <v>10.160370780809936</v>
      </c>
      <c r="E126" s="9">
        <v>10.565657693044361</v>
      </c>
      <c r="F126" s="9">
        <v>847.79499360136356</v>
      </c>
      <c r="G126" s="9">
        <v>881.61267826829146</v>
      </c>
      <c r="H126" s="9">
        <v>1927.7025848796179</v>
      </c>
      <c r="I126" s="24"/>
      <c r="J126" s="9">
        <v>10.282288459328567</v>
      </c>
      <c r="K126" s="9">
        <v>10.410414171902447</v>
      </c>
      <c r="L126" s="22">
        <v>857.96796855566492</v>
      </c>
      <c r="M126" s="22">
        <v>868.65895021520271</v>
      </c>
      <c r="N126" s="22">
        <v>459.55193456916328</v>
      </c>
    </row>
    <row r="127" spans="2:14" x14ac:dyDescent="0.25">
      <c r="B127" s="37">
        <v>123</v>
      </c>
      <c r="D127" s="9">
        <v>10.23689623106814</v>
      </c>
      <c r="E127" s="9">
        <v>10.645651042597745</v>
      </c>
      <c r="F127" s="9">
        <v>847.23582408682068</v>
      </c>
      <c r="G127" s="9">
        <v>881.06558183553273</v>
      </c>
      <c r="H127" s="9">
        <v>1944.1972661378215</v>
      </c>
      <c r="I127" s="24"/>
      <c r="J127" s="9">
        <v>10.36012783906172</v>
      </c>
      <c r="K127" s="9">
        <v>10.489295080766906</v>
      </c>
      <c r="L127" s="22">
        <v>857.43483661906862</v>
      </c>
      <c r="M127" s="22">
        <v>868.12509976142508</v>
      </c>
      <c r="N127" s="22">
        <v>463.28761507844808</v>
      </c>
    </row>
    <row r="128" spans="2:14" x14ac:dyDescent="0.25">
      <c r="B128" s="37">
        <v>124</v>
      </c>
      <c r="D128" s="9">
        <v>10.312907799930413</v>
      </c>
      <c r="E128" s="9">
        <v>10.724997154420629</v>
      </c>
      <c r="F128" s="9">
        <v>846.64348607711474</v>
      </c>
      <c r="G128" s="9">
        <v>880.47417422340266</v>
      </c>
      <c r="H128" s="9">
        <v>1960.057652670223</v>
      </c>
      <c r="I128" s="24"/>
      <c r="J128" s="9">
        <v>10.444861126061019</v>
      </c>
      <c r="K128" s="9">
        <v>10.575079162363265</v>
      </c>
      <c r="L128" s="22">
        <v>857.47626245813126</v>
      </c>
      <c r="M128" s="22">
        <v>868.16657932548401</v>
      </c>
      <c r="N128" s="22">
        <v>467.05652828263823</v>
      </c>
    </row>
    <row r="129" spans="2:14" x14ac:dyDescent="0.25">
      <c r="B129" s="37">
        <v>125</v>
      </c>
      <c r="D129" s="9">
        <v>10.389981656726</v>
      </c>
      <c r="E129" s="9">
        <v>10.805681385227837</v>
      </c>
      <c r="F129" s="9">
        <v>846.1471368788574</v>
      </c>
      <c r="G129" s="9">
        <v>880.00120387284915</v>
      </c>
      <c r="H129" s="9">
        <v>1977.2299992337691</v>
      </c>
      <c r="I129" s="24"/>
      <c r="J129" s="9">
        <v>10.529589443874604</v>
      </c>
      <c r="K129" s="9">
        <v>10.660878542980271</v>
      </c>
      <c r="L129" s="22">
        <v>857.51662079948721</v>
      </c>
      <c r="M129" s="22">
        <v>868.20864114966253</v>
      </c>
      <c r="N129" s="22">
        <v>470.89813800693582</v>
      </c>
    </row>
    <row r="130" spans="2:14" x14ac:dyDescent="0.25">
      <c r="B130" s="37">
        <v>126</v>
      </c>
      <c r="D130" s="9">
        <v>10.466673348716155</v>
      </c>
      <c r="E130" s="9">
        <v>10.885884288826963</v>
      </c>
      <c r="F130" s="9">
        <v>845.62779022271616</v>
      </c>
      <c r="G130" s="9">
        <v>879.49685340185636</v>
      </c>
      <c r="H130" s="9">
        <v>1993.9306907447965</v>
      </c>
      <c r="I130" s="24"/>
      <c r="J130" s="9">
        <v>10.607933073684604</v>
      </c>
      <c r="K130" s="9">
        <v>10.74026949283768</v>
      </c>
      <c r="L130" s="22">
        <v>857.04050418566703</v>
      </c>
      <c r="M130" s="22">
        <v>867.73228274471887</v>
      </c>
      <c r="N130" s="22">
        <v>474.65458895053672</v>
      </c>
    </row>
    <row r="131" spans="2:14" x14ac:dyDescent="0.25">
      <c r="B131" s="37">
        <v>127</v>
      </c>
      <c r="D131" s="9">
        <v>10.542135531052608</v>
      </c>
      <c r="E131" s="9">
        <v>10.9645385394076</v>
      </c>
      <c r="F131" s="9">
        <v>845.01806936877006</v>
      </c>
      <c r="G131" s="9">
        <v>878.87631123677761</v>
      </c>
      <c r="H131" s="9">
        <v>2009.1134119718531</v>
      </c>
      <c r="I131" s="24"/>
      <c r="J131" s="9">
        <v>10.702900426140294</v>
      </c>
      <c r="K131" s="9">
        <v>10.836307908096789</v>
      </c>
      <c r="L131" s="22">
        <v>857.90438076830719</v>
      </c>
      <c r="M131" s="22">
        <v>868.59782447429711</v>
      </c>
      <c r="N131" s="22">
        <v>478.49619867483364</v>
      </c>
    </row>
    <row r="132" spans="2:14" x14ac:dyDescent="0.25">
      <c r="B132" s="37">
        <v>128</v>
      </c>
      <c r="D132" s="9">
        <v>10.618638051001788</v>
      </c>
      <c r="E132" s="9">
        <v>11.044503259663301</v>
      </c>
      <c r="F132" s="9">
        <v>844.50061348576878</v>
      </c>
      <c r="G132" s="9">
        <v>878.36968673692479</v>
      </c>
      <c r="H132" s="9">
        <v>2025.5809866178442</v>
      </c>
      <c r="I132" s="24"/>
      <c r="J132" s="9">
        <v>10.785382460874903</v>
      </c>
      <c r="K132" s="9">
        <v>10.919846528344559</v>
      </c>
      <c r="L132" s="22">
        <v>857.76180157381009</v>
      </c>
      <c r="M132" s="22">
        <v>868.45573302947389</v>
      </c>
      <c r="N132" s="22">
        <v>482.28588231334038</v>
      </c>
    </row>
    <row r="133" spans="2:14" x14ac:dyDescent="0.25">
      <c r="B133" s="37">
        <v>129</v>
      </c>
      <c r="D133" s="9">
        <v>10.694648656974239</v>
      </c>
      <c r="E133" s="9">
        <v>11.123848408596364</v>
      </c>
      <c r="F133" s="9">
        <v>843.95236151157815</v>
      </c>
      <c r="G133" s="9">
        <v>877.82202432705185</v>
      </c>
      <c r="H133" s="9">
        <v>2041.4413731502432</v>
      </c>
      <c r="I133" s="24"/>
      <c r="J133" s="9">
        <v>10.867588194888432</v>
      </c>
      <c r="K133" s="9">
        <v>11.00309958240549</v>
      </c>
      <c r="L133" s="22">
        <v>857.59962904721851</v>
      </c>
      <c r="M133" s="22">
        <v>868.29330952003613</v>
      </c>
      <c r="N133" s="22">
        <v>486.04233325694122</v>
      </c>
    </row>
    <row r="134" spans="2:14" x14ac:dyDescent="0.25">
      <c r="B134" s="37">
        <v>130</v>
      </c>
      <c r="D134" s="9">
        <v>10.771721549802868</v>
      </c>
      <c r="E134" s="9">
        <v>11.204531675436606</v>
      </c>
      <c r="F134" s="9">
        <v>843.49572814042494</v>
      </c>
      <c r="G134" s="9">
        <v>877.38757081200413</v>
      </c>
      <c r="H134" s="9">
        <v>2058.6137197137919</v>
      </c>
      <c r="I134" s="24"/>
      <c r="J134" s="9">
        <v>10.949725847108196</v>
      </c>
      <c r="K134" s="9">
        <v>11.086296715596475</v>
      </c>
      <c r="L134" s="22">
        <v>857.43462023612994</v>
      </c>
      <c r="M134" s="22">
        <v>868.12900586666069</v>
      </c>
      <c r="N134" s="22">
        <v>489.84240211260601</v>
      </c>
    </row>
    <row r="135" spans="2:14" x14ac:dyDescent="0.25">
      <c r="B135" s="37">
        <v>131</v>
      </c>
      <c r="D135" s="9">
        <v>10.84786349462926</v>
      </c>
      <c r="E135" s="9">
        <v>11.28404235715556</v>
      </c>
      <c r="F135" s="9">
        <v>842.97372348176032</v>
      </c>
      <c r="G135" s="9">
        <v>876.86863007141949</v>
      </c>
      <c r="H135" s="9">
        <v>2074.6367459194735</v>
      </c>
      <c r="I135" s="24"/>
      <c r="J135" s="9">
        <v>11.033178667234621</v>
      </c>
      <c r="K135" s="9">
        <v>11.170800330319958</v>
      </c>
      <c r="L135" s="22">
        <v>857.37433067470181</v>
      </c>
      <c r="M135" s="22">
        <v>868.06873569005211</v>
      </c>
      <c r="N135" s="22">
        <v>493.61131531679609</v>
      </c>
    </row>
    <row r="136" spans="2:14" x14ac:dyDescent="0.25">
      <c r="B136" s="37">
        <v>132</v>
      </c>
      <c r="D136" s="9">
        <v>10.924255507394692</v>
      </c>
      <c r="E136" s="9">
        <v>11.363868075284229</v>
      </c>
      <c r="F136" s="9">
        <v>842.47891323156898</v>
      </c>
      <c r="G136" s="9">
        <v>876.3818476867192</v>
      </c>
      <c r="H136" s="9">
        <v>2090.9687875043946</v>
      </c>
      <c r="I136" s="24"/>
      <c r="J136" s="9">
        <v>11.114936216530278</v>
      </c>
      <c r="K136" s="9">
        <v>11.253610990579128</v>
      </c>
      <c r="L136" s="22">
        <v>857.18421525403005</v>
      </c>
      <c r="M136" s="22">
        <v>867.87881799874117</v>
      </c>
      <c r="N136" s="22">
        <v>497.38853669471365</v>
      </c>
    </row>
    <row r="137" spans="2:14" x14ac:dyDescent="0.25">
      <c r="B137" s="37">
        <v>133</v>
      </c>
      <c r="D137" s="9">
        <v>11.000945882255694</v>
      </c>
      <c r="E137" s="9">
        <v>11.444069661754204</v>
      </c>
      <c r="F137" s="9">
        <v>842.01438042558561</v>
      </c>
      <c r="G137" s="9">
        <v>875.93115436846188</v>
      </c>
      <c r="H137" s="9">
        <v>2107.669479015422</v>
      </c>
      <c r="I137" s="24"/>
      <c r="J137" s="9">
        <v>11.200115676074097</v>
      </c>
      <c r="K137" s="9">
        <v>11.339855722010263</v>
      </c>
      <c r="L137" s="22">
        <v>857.25887233895799</v>
      </c>
      <c r="M137" s="22">
        <v>867.95460063895553</v>
      </c>
      <c r="N137" s="22">
        <v>501.20937598469442</v>
      </c>
    </row>
    <row r="138" spans="2:14" x14ac:dyDescent="0.25">
      <c r="B138" s="37">
        <v>134</v>
      </c>
      <c r="D138" s="9">
        <v>11.076406778199907</v>
      </c>
      <c r="E138" s="9">
        <v>11.522722625942604</v>
      </c>
      <c r="F138" s="9">
        <v>841.46337867986711</v>
      </c>
      <c r="G138" s="9">
        <v>875.36954055350805</v>
      </c>
      <c r="H138" s="9">
        <v>2122.8522002424806</v>
      </c>
      <c r="I138" s="24"/>
      <c r="J138" s="9">
        <v>11.290730703175329</v>
      </c>
      <c r="K138" s="9">
        <v>11.431527334624656</v>
      </c>
      <c r="L138" s="22">
        <v>857.74534968843443</v>
      </c>
      <c r="M138" s="22">
        <v>868.44152684935921</v>
      </c>
      <c r="N138" s="22">
        <v>504.99905962320128</v>
      </c>
    </row>
    <row r="139" spans="2:14" x14ac:dyDescent="0.25">
      <c r="B139" s="37">
        <v>135</v>
      </c>
      <c r="D139" s="9">
        <v>11.152908009555302</v>
      </c>
      <c r="E139" s="9">
        <v>11.602686057604531</v>
      </c>
      <c r="F139" s="9">
        <v>840.99898771676374</v>
      </c>
      <c r="G139" s="9">
        <v>874.91506438327485</v>
      </c>
      <c r="H139" s="9">
        <v>2139.3197748884695</v>
      </c>
      <c r="I139" s="24"/>
      <c r="J139" s="9">
        <v>11.374961237447067</v>
      </c>
      <c r="K139" s="9">
        <v>11.516825457150162</v>
      </c>
      <c r="L139" s="22">
        <v>857.7431892932691</v>
      </c>
      <c r="M139" s="22">
        <v>868.44063834075632</v>
      </c>
      <c r="N139" s="22">
        <v>508.82820708690832</v>
      </c>
    </row>
    <row r="140" spans="2:14" x14ac:dyDescent="0.25">
      <c r="B140" s="37">
        <v>136</v>
      </c>
      <c r="D140" s="9">
        <v>11.22891734655477</v>
      </c>
      <c r="E140" s="9">
        <v>11.682029937564606</v>
      </c>
      <c r="F140" s="9">
        <v>840.50460685758264</v>
      </c>
      <c r="G140" s="9">
        <v>874.42089712984045</v>
      </c>
      <c r="H140" s="9">
        <v>2155.1801614208707</v>
      </c>
      <c r="I140" s="24"/>
      <c r="J140" s="9">
        <v>11.457120102182415</v>
      </c>
      <c r="K140" s="9">
        <v>11.600023534650363</v>
      </c>
      <c r="L140" s="22">
        <v>857.58599248746975</v>
      </c>
      <c r="M140" s="22">
        <v>868.28257076105763</v>
      </c>
      <c r="N140" s="22">
        <v>512.55557942246685</v>
      </c>
    </row>
    <row r="141" spans="2:14" x14ac:dyDescent="0.25">
      <c r="B141" s="37">
        <v>137</v>
      </c>
      <c r="D141" s="9">
        <v>11.306274338228015</v>
      </c>
      <c r="E141" s="9">
        <v>11.763071390102002</v>
      </c>
      <c r="F141" s="9">
        <v>840.11758129783254</v>
      </c>
      <c r="G141" s="9">
        <v>874.06008285794428</v>
      </c>
      <c r="H141" s="9">
        <v>2172.7048939431952</v>
      </c>
      <c r="I141" s="24"/>
      <c r="J141" s="9">
        <v>11.532549059905378</v>
      </c>
      <c r="K141" s="9">
        <v>11.676509077886488</v>
      </c>
      <c r="L141" s="22">
        <v>856.9310218882207</v>
      </c>
      <c r="M141" s="22">
        <v>867.62803298947767</v>
      </c>
      <c r="N141" s="22">
        <v>516.34526306097382</v>
      </c>
    </row>
    <row r="142" spans="2:14" x14ac:dyDescent="0.25">
      <c r="B142" s="37">
        <v>138</v>
      </c>
      <c r="D142" s="9">
        <v>11.382415035979077</v>
      </c>
      <c r="E142" s="9">
        <v>11.842580824745616</v>
      </c>
      <c r="F142" s="9">
        <v>839.64644246830551</v>
      </c>
      <c r="G142" s="9">
        <v>873.59148543696676</v>
      </c>
      <c r="H142" s="9">
        <v>2188.7279201488773</v>
      </c>
      <c r="I142" s="24"/>
      <c r="J142" s="9">
        <v>11.617745237419328</v>
      </c>
      <c r="K142" s="9">
        <v>11.762767052738107</v>
      </c>
      <c r="L142" s="22">
        <v>857.00604197509494</v>
      </c>
      <c r="M142" s="22">
        <v>867.70386409173818</v>
      </c>
      <c r="N142" s="22">
        <v>520.153640090365</v>
      </c>
    </row>
    <row r="143" spans="2:14" x14ac:dyDescent="0.25">
      <c r="B143" s="37">
        <v>139</v>
      </c>
      <c r="D143" s="9">
        <v>11.458423853600522</v>
      </c>
      <c r="E143" s="9">
        <v>11.92192418532767</v>
      </c>
      <c r="F143" s="9">
        <v>839.17242420364812</v>
      </c>
      <c r="G143" s="9">
        <v>873.11746777719736</v>
      </c>
      <c r="H143" s="9">
        <v>2204.5883066812789</v>
      </c>
      <c r="I143" s="24"/>
      <c r="J143" s="9">
        <v>11.705809463448894</v>
      </c>
      <c r="K143" s="9">
        <v>11.85188786428084</v>
      </c>
      <c r="L143" s="22">
        <v>857.29002786205376</v>
      </c>
      <c r="M143" s="22">
        <v>867.98826763011914</v>
      </c>
      <c r="N143" s="22">
        <v>523.94332372887129</v>
      </c>
    </row>
    <row r="144" spans="2:14" x14ac:dyDescent="0.25">
      <c r="B144" s="37">
        <v>140</v>
      </c>
      <c r="D144" s="9">
        <v>11.535780322262422</v>
      </c>
      <c r="E144" s="9">
        <v>12.002965114853719</v>
      </c>
      <c r="F144" s="9">
        <v>838.803169609321</v>
      </c>
      <c r="G144" s="9">
        <v>872.77365741954645</v>
      </c>
      <c r="H144" s="9">
        <v>2222.1130392036066</v>
      </c>
      <c r="I144" s="24"/>
      <c r="J144" s="9">
        <v>11.782173936635212</v>
      </c>
      <c r="K144" s="9">
        <v>11.929317609354481</v>
      </c>
      <c r="L144" s="22">
        <v>856.71923067616888</v>
      </c>
      <c r="M144" s="22">
        <v>867.41851374301837</v>
      </c>
      <c r="N144" s="22">
        <v>527.7641630188524</v>
      </c>
    </row>
    <row r="145" spans="2:14" x14ac:dyDescent="0.25">
      <c r="B145" s="37">
        <v>141</v>
      </c>
      <c r="D145" s="9">
        <v>11.611218063878773</v>
      </c>
      <c r="E145" s="9">
        <v>12.081589225725601</v>
      </c>
      <c r="F145" s="9">
        <v>838.30062542098869</v>
      </c>
      <c r="G145" s="9">
        <v>872.26023560029068</v>
      </c>
      <c r="H145" s="9">
        <v>2237.2686538184489</v>
      </c>
      <c r="I145" s="24"/>
      <c r="J145" s="9">
        <v>11.86974375817787</v>
      </c>
      <c r="K145" s="9">
        <v>12.017940541860645</v>
      </c>
      <c r="L145" s="22">
        <v>856.96552776164219</v>
      </c>
      <c r="M145" s="22">
        <v>867.66496134071906</v>
      </c>
      <c r="N145" s="22">
        <v>531.5413843967691</v>
      </c>
    </row>
    <row r="146" spans="2:14" x14ac:dyDescent="0.25">
      <c r="B146" s="37">
        <v>142</v>
      </c>
      <c r="D146" s="9">
        <v>11.687740039876838</v>
      </c>
      <c r="E146" s="9">
        <v>12.161579101018843</v>
      </c>
      <c r="F146" s="9">
        <v>837.88288704398485</v>
      </c>
      <c r="G146" s="9">
        <v>871.8519554172799</v>
      </c>
      <c r="H146" s="9">
        <v>2253.7633350766505</v>
      </c>
      <c r="I146" s="24"/>
      <c r="J146" s="9">
        <v>11.952772814375917</v>
      </c>
      <c r="K146" s="9">
        <v>12.102026183571843</v>
      </c>
      <c r="L146" s="22">
        <v>856.88283275640731</v>
      </c>
      <c r="M146" s="22">
        <v>867.58266381495662</v>
      </c>
      <c r="N146" s="22">
        <v>535.33106803527517</v>
      </c>
    </row>
    <row r="147" spans="2:14" x14ac:dyDescent="0.25">
      <c r="B147" s="37">
        <v>143</v>
      </c>
      <c r="D147" s="9">
        <v>11.764714046733211</v>
      </c>
      <c r="E147" s="9">
        <v>12.242138406336734</v>
      </c>
      <c r="F147" s="9">
        <v>837.50317020796695</v>
      </c>
      <c r="G147" s="9">
        <v>871.48992187181102</v>
      </c>
      <c r="H147" s="9">
        <v>2270.8164125464582</v>
      </c>
      <c r="I147" s="24"/>
      <c r="J147" s="9">
        <v>12.030375761312493</v>
      </c>
      <c r="K147" s="9">
        <v>12.180682820563543</v>
      </c>
      <c r="L147" s="22">
        <v>856.41502197752311</v>
      </c>
      <c r="M147" s="22">
        <v>867.11503883533578</v>
      </c>
      <c r="N147" s="22">
        <v>539.11036645662409</v>
      </c>
    </row>
    <row r="148" spans="2:14" x14ac:dyDescent="0.25">
      <c r="B148" s="37">
        <v>144</v>
      </c>
      <c r="D148" s="9">
        <v>11.841103982522545</v>
      </c>
      <c r="E148" s="9">
        <v>12.321962047489315</v>
      </c>
      <c r="F148" s="9">
        <v>837.08743727016122</v>
      </c>
      <c r="G148" s="9">
        <v>871.08090999769081</v>
      </c>
      <c r="H148" s="9">
        <v>2287.1484541313785</v>
      </c>
      <c r="I148" s="24"/>
      <c r="J148" s="9">
        <v>12.114671194162703</v>
      </c>
      <c r="K148" s="9">
        <v>12.26603483892692</v>
      </c>
      <c r="L148" s="22">
        <v>856.42682289256663</v>
      </c>
      <c r="M148" s="22">
        <v>867.12722765875776</v>
      </c>
      <c r="N148" s="22">
        <v>542.90005009513163</v>
      </c>
    </row>
    <row r="149" spans="2:14" x14ac:dyDescent="0.25">
      <c r="B149" s="37">
        <v>145</v>
      </c>
      <c r="D149" s="9">
        <v>11.917792292061469</v>
      </c>
      <c r="E149" s="9">
        <v>12.402161568637204</v>
      </c>
      <c r="F149" s="9">
        <v>836.69838615367257</v>
      </c>
      <c r="G149" s="9">
        <v>870.70392863013399</v>
      </c>
      <c r="H149" s="9">
        <v>2303.8491456424053</v>
      </c>
      <c r="I149" s="24"/>
      <c r="J149" s="9">
        <v>12.197360164394542</v>
      </c>
      <c r="K149" s="9">
        <v>12.34978560649642</v>
      </c>
      <c r="L149" s="22">
        <v>856.32567801017785</v>
      </c>
      <c r="M149" s="22">
        <v>867.02683123470183</v>
      </c>
      <c r="N149" s="22">
        <v>546.70842712452315</v>
      </c>
    </row>
    <row r="150" spans="2:14" x14ac:dyDescent="0.25">
      <c r="B150" s="37">
        <v>146</v>
      </c>
      <c r="D150" s="9">
        <v>11.993251171944266</v>
      </c>
      <c r="E150" s="9">
        <v>12.4808125167642</v>
      </c>
      <c r="F150" s="9">
        <v>836.22894257254177</v>
      </c>
      <c r="G150" s="9">
        <v>870.22413720098245</v>
      </c>
      <c r="H150" s="9">
        <v>2319.0318668694626</v>
      </c>
      <c r="I150" s="24"/>
      <c r="J150" s="9">
        <v>12.287902671142712</v>
      </c>
      <c r="K150" s="9">
        <v>12.441384698757751</v>
      </c>
      <c r="L150" s="22">
        <v>856.77350618332673</v>
      </c>
      <c r="M150" s="22">
        <v>867.47503421908175</v>
      </c>
      <c r="N150" s="22">
        <v>550.49811076302922</v>
      </c>
    </row>
    <row r="151" spans="2:14" x14ac:dyDescent="0.25">
      <c r="B151" s="37">
        <v>147</v>
      </c>
      <c r="D151" s="9">
        <v>12.070035744703187</v>
      </c>
      <c r="E151" s="9">
        <v>12.561133376682186</v>
      </c>
      <c r="F151" s="9">
        <v>835.85769105802683</v>
      </c>
      <c r="G151" s="9">
        <v>869.86651600539028</v>
      </c>
      <c r="H151" s="9">
        <v>2335.85182747423</v>
      </c>
      <c r="I151" s="24"/>
      <c r="J151" s="9">
        <v>12.366341339955351</v>
      </c>
      <c r="K151" s="9">
        <v>12.520888639457702</v>
      </c>
      <c r="L151" s="22">
        <v>856.37704294178036</v>
      </c>
      <c r="M151" s="22">
        <v>867.07954222625665</v>
      </c>
      <c r="N151" s="22">
        <v>554.31895005301021</v>
      </c>
    </row>
    <row r="152" spans="2:14" x14ac:dyDescent="0.25">
      <c r="B152" s="37">
        <v>148</v>
      </c>
      <c r="D152" s="9">
        <v>12.146723572051711</v>
      </c>
      <c r="E152" s="9">
        <v>12.641332415639695</v>
      </c>
      <c r="F152" s="9">
        <v>835.48480204247448</v>
      </c>
      <c r="G152" s="9">
        <v>869.50534835048302</v>
      </c>
      <c r="H152" s="9">
        <v>2352.5525189852578</v>
      </c>
      <c r="I152" s="24"/>
      <c r="J152" s="9">
        <v>12.448148617080975</v>
      </c>
      <c r="K152" s="9">
        <v>12.603749027546833</v>
      </c>
      <c r="L152" s="22">
        <v>856.21763938606614</v>
      </c>
      <c r="M152" s="22">
        <v>866.92026033274794</v>
      </c>
      <c r="N152" s="22">
        <v>558.09617143092726</v>
      </c>
    </row>
    <row r="153" spans="2:14" x14ac:dyDescent="0.25">
      <c r="B153" s="37">
        <v>149</v>
      </c>
      <c r="D153" s="9">
        <v>12.223112706235488</v>
      </c>
      <c r="E153" s="9">
        <v>12.721155255186714</v>
      </c>
      <c r="F153" s="9">
        <v>835.0965112028905</v>
      </c>
      <c r="G153" s="9">
        <v>869.12332622584199</v>
      </c>
      <c r="H153" s="9">
        <v>2368.8845605701777</v>
      </c>
      <c r="I153" s="24"/>
      <c r="J153" s="9">
        <v>12.532446244804136</v>
      </c>
      <c r="K153" s="9">
        <v>12.68910324078316</v>
      </c>
      <c r="L153" s="22">
        <v>856.23051896876359</v>
      </c>
      <c r="M153" s="22">
        <v>866.93349732965771</v>
      </c>
      <c r="N153" s="22">
        <v>561.88585506943298</v>
      </c>
    </row>
    <row r="154" spans="2:14" x14ac:dyDescent="0.25">
      <c r="B154" s="37">
        <v>150</v>
      </c>
      <c r="D154" s="9">
        <v>12.299536805784408</v>
      </c>
      <c r="E154" s="9">
        <v>12.801022178480718</v>
      </c>
      <c r="F154" s="9">
        <v>834.71577052091072</v>
      </c>
      <c r="G154" s="9">
        <v>868.7493895006354</v>
      </c>
      <c r="H154" s="9">
        <v>2385.2599727346424</v>
      </c>
      <c r="I154" s="24"/>
      <c r="J154" s="9">
        <v>12.612594691029619</v>
      </c>
      <c r="K154" s="9">
        <v>12.770305377063764</v>
      </c>
      <c r="L154" s="22">
        <v>855.9616400220458</v>
      </c>
      <c r="M154" s="22">
        <v>866.66477452955519</v>
      </c>
      <c r="N154" s="22">
        <v>565.66515349078179</v>
      </c>
    </row>
    <row r="155" spans="2:14" x14ac:dyDescent="0.25">
      <c r="B155" s="37">
        <v>151</v>
      </c>
      <c r="D155" s="9">
        <v>12.375925628689217</v>
      </c>
      <c r="E155" s="9">
        <v>12.880844706748773</v>
      </c>
      <c r="F155" s="9">
        <v>834.33769454509718</v>
      </c>
      <c r="G155" s="9">
        <v>868.37741263644318</v>
      </c>
      <c r="H155" s="9">
        <v>2401.5920143195622</v>
      </c>
      <c r="I155" s="24"/>
      <c r="J155" s="9">
        <v>12.694408241467967</v>
      </c>
      <c r="K155" s="9">
        <v>12.853172038465608</v>
      </c>
      <c r="L155" s="22">
        <v>855.80857735991776</v>
      </c>
      <c r="M155" s="22">
        <v>866.51182690572705</v>
      </c>
      <c r="N155" s="22">
        <v>569.44237486869997</v>
      </c>
    </row>
    <row r="156" spans="2:14" x14ac:dyDescent="0.25">
      <c r="B156" s="37">
        <v>152</v>
      </c>
      <c r="D156" s="9">
        <v>12.452612830406419</v>
      </c>
      <c r="E156" s="9">
        <v>12.961043120074965</v>
      </c>
      <c r="F156" s="9">
        <v>833.98457647524162</v>
      </c>
      <c r="G156" s="9">
        <v>868.03550422600563</v>
      </c>
      <c r="H156" s="9">
        <v>2418.2927058305895</v>
      </c>
      <c r="I156" s="24"/>
      <c r="J156" s="9">
        <v>12.779600291375694</v>
      </c>
      <c r="K156" s="9">
        <v>12.939429360260656</v>
      </c>
      <c r="L156" s="22">
        <v>855.88379576866555</v>
      </c>
      <c r="M156" s="22">
        <v>866.58797328850153</v>
      </c>
      <c r="N156" s="22">
        <v>573.26321415868108</v>
      </c>
    </row>
    <row r="157" spans="2:14" x14ac:dyDescent="0.25">
      <c r="B157" s="37">
        <v>153</v>
      </c>
      <c r="D157" s="9">
        <v>12.52890476274294</v>
      </c>
      <c r="E157" s="9">
        <v>13.040743682224626</v>
      </c>
      <c r="F157" s="9">
        <v>833.6097751081212</v>
      </c>
      <c r="G157" s="9">
        <v>867.66494071441639</v>
      </c>
      <c r="H157" s="9">
        <v>2434.5054783217679</v>
      </c>
      <c r="I157" s="24"/>
      <c r="J157" s="9">
        <v>12.862663797896587</v>
      </c>
      <c r="K157" s="9">
        <v>13.023549452294722</v>
      </c>
      <c r="L157" s="22">
        <v>855.81640844945605</v>
      </c>
      <c r="M157" s="22">
        <v>866.52092386566142</v>
      </c>
      <c r="N157" s="22">
        <v>577.05289779718737</v>
      </c>
    </row>
    <row r="158" spans="2:14" x14ac:dyDescent="0.25">
      <c r="B158" s="37">
        <v>154</v>
      </c>
      <c r="D158" s="9">
        <v>12.604854111354767</v>
      </c>
      <c r="E158" s="9">
        <v>13.120012756426547</v>
      </c>
      <c r="F158" s="9">
        <v>833.21719551938008</v>
      </c>
      <c r="G158" s="9">
        <v>867.27066711867474</v>
      </c>
      <c r="H158" s="9">
        <v>2450.2953876624142</v>
      </c>
      <c r="I158" s="24"/>
      <c r="J158" s="9">
        <v>12.9452285034016</v>
      </c>
      <c r="K158" s="9">
        <v>13.107167268763233</v>
      </c>
      <c r="L158" s="22">
        <v>855.71692410508399</v>
      </c>
      <c r="M158" s="22">
        <v>866.42154335164412</v>
      </c>
      <c r="N158" s="22">
        <v>580.83011917510385</v>
      </c>
    </row>
    <row r="159" spans="2:14" x14ac:dyDescent="0.25">
      <c r="B159" s="37">
        <v>155</v>
      </c>
      <c r="D159" s="9">
        <v>12.681540858112278</v>
      </c>
      <c r="E159" s="9">
        <v>13.200210714793039</v>
      </c>
      <c r="F159" s="9">
        <v>832.87811113866371</v>
      </c>
      <c r="G159" s="9">
        <v>866.94248670391653</v>
      </c>
      <c r="H159" s="9">
        <v>2466.996079173442</v>
      </c>
      <c r="I159" s="24"/>
      <c r="J159" s="9">
        <v>13.030418812160397</v>
      </c>
      <c r="K159" s="9">
        <v>13.193422849409352</v>
      </c>
      <c r="L159" s="22">
        <v>855.7911636325681</v>
      </c>
      <c r="M159" s="22">
        <v>866.49668405558816</v>
      </c>
      <c r="N159" s="22">
        <v>584.65095846508484</v>
      </c>
    </row>
    <row r="160" spans="2:14" x14ac:dyDescent="0.25">
      <c r="B160" s="37">
        <v>156</v>
      </c>
      <c r="D160" s="9">
        <v>12.758214284387808</v>
      </c>
      <c r="E160" s="9">
        <v>13.280391933284344</v>
      </c>
      <c r="F160" s="9">
        <v>832.54250476008383</v>
      </c>
      <c r="G160" s="9">
        <v>866.61742136295334</v>
      </c>
      <c r="H160" s="9">
        <v>2483.6805067171426</v>
      </c>
      <c r="I160" s="24"/>
      <c r="J160" s="9">
        <v>13.109780872215094</v>
      </c>
      <c r="K160" s="9">
        <v>13.273841494977217</v>
      </c>
      <c r="L160" s="22">
        <v>855.48412661212103</v>
      </c>
      <c r="M160" s="22">
        <v>866.18996982514955</v>
      </c>
      <c r="N160" s="22">
        <v>588.4406421035909</v>
      </c>
    </row>
    <row r="161" spans="2:14" x14ac:dyDescent="0.25">
      <c r="B161" s="37">
        <v>157</v>
      </c>
      <c r="D161" s="9">
        <v>12.83490073226621</v>
      </c>
      <c r="E161" s="9">
        <v>13.360589592771726</v>
      </c>
      <c r="F161" s="9">
        <v>832.21201793973751</v>
      </c>
      <c r="G161" s="9">
        <v>866.29756301216059</v>
      </c>
      <c r="H161" s="9">
        <v>2500.3811982281704</v>
      </c>
      <c r="I161" s="24"/>
      <c r="J161" s="9">
        <v>13.189948517378529</v>
      </c>
      <c r="K161" s="9">
        <v>13.355059355646105</v>
      </c>
      <c r="L161" s="22">
        <v>855.23323484487094</v>
      </c>
      <c r="M161" s="22">
        <v>865.93898370609486</v>
      </c>
      <c r="N161" s="22">
        <v>592.20747826435024</v>
      </c>
    </row>
    <row r="162" spans="2:14" x14ac:dyDescent="0.25">
      <c r="B162" s="37">
        <v>158</v>
      </c>
      <c r="D162" s="9">
        <v>12.910739737534282</v>
      </c>
      <c r="E162" s="9">
        <v>13.439719828686622</v>
      </c>
      <c r="F162" s="9">
        <v>831.83111428454606</v>
      </c>
      <c r="G162" s="9">
        <v>865.91298004924363</v>
      </c>
      <c r="H162" s="9">
        <v>2516.0355745077441</v>
      </c>
      <c r="I162" s="24"/>
      <c r="J162" s="9">
        <v>13.27673181136679</v>
      </c>
      <c r="K162" s="9">
        <v>13.442899235147541</v>
      </c>
      <c r="L162" s="22">
        <v>855.41176115564087</v>
      </c>
      <c r="M162" s="22">
        <v>866.11782727511263</v>
      </c>
      <c r="N162" s="22">
        <v>595.99716190285801</v>
      </c>
    </row>
    <row r="163" spans="2:14" x14ac:dyDescent="0.25">
      <c r="B163" s="37">
        <v>159</v>
      </c>
      <c r="D163" s="9">
        <v>13.026392257945671</v>
      </c>
      <c r="E163" s="9">
        <v>13.557160516417197</v>
      </c>
      <c r="F163" s="9">
        <v>803.67661011762482</v>
      </c>
      <c r="G163" s="9">
        <v>836.42290136079214</v>
      </c>
      <c r="H163" s="9">
        <v>2551.3644645966911</v>
      </c>
      <c r="I163" s="24"/>
      <c r="J163" s="9">
        <v>13.23455735746654</v>
      </c>
      <c r="K163" s="9">
        <v>13.386080199699149</v>
      </c>
      <c r="L163" s="22">
        <v>816.51956910542003</v>
      </c>
      <c r="M163" s="22">
        <v>825.86792602493563</v>
      </c>
      <c r="N163" s="22">
        <v>543.44276781638223</v>
      </c>
    </row>
    <row r="164" spans="2:14" x14ac:dyDescent="0.25">
      <c r="B164" s="37">
        <v>160</v>
      </c>
      <c r="D164" s="9">
        <v>13.101571807078937</v>
      </c>
      <c r="E164" s="9">
        <v>13.6354014016429</v>
      </c>
      <c r="F164" s="9">
        <v>803.44552258596741</v>
      </c>
      <c r="G164" s="9">
        <v>836.1822814948913</v>
      </c>
      <c r="H164" s="9">
        <v>2566.0800848241515</v>
      </c>
      <c r="I164" s="24"/>
      <c r="J164" s="9">
        <v>13.325131956217323</v>
      </c>
      <c r="K164" s="9">
        <v>13.477574720883078</v>
      </c>
      <c r="L164" s="22">
        <v>817.15520593532221</v>
      </c>
      <c r="M164" s="22">
        <v>826.5036611073308</v>
      </c>
      <c r="N164" s="22">
        <v>546.7420848667316</v>
      </c>
    </row>
    <row r="165" spans="2:14" x14ac:dyDescent="0.25">
      <c r="B165" s="37">
        <v>161</v>
      </c>
      <c r="D165" s="9">
        <v>13.17739484013233</v>
      </c>
      <c r="E165" s="9">
        <v>13.714449738332656</v>
      </c>
      <c r="F165" s="9">
        <v>803.25642751519069</v>
      </c>
      <c r="G165" s="9">
        <v>835.99376324365369</v>
      </c>
      <c r="H165" s="9">
        <v>2581.5838851249096</v>
      </c>
      <c r="I165" s="24"/>
      <c r="J165" s="9">
        <v>13.405118650982843</v>
      </c>
      <c r="K165" s="9">
        <v>13.558479121129515</v>
      </c>
      <c r="L165" s="22">
        <v>817.13782190179847</v>
      </c>
      <c r="M165" s="22">
        <v>826.48623901053475</v>
      </c>
      <c r="N165" s="22">
        <v>550.03348083114952</v>
      </c>
    </row>
    <row r="166" spans="2:14" x14ac:dyDescent="0.25">
      <c r="B166" s="37">
        <v>162</v>
      </c>
      <c r="D166" s="9">
        <v>13.2537626414267</v>
      </c>
      <c r="E166" s="9">
        <v>13.794181669117224</v>
      </c>
      <c r="F166" s="9">
        <v>803.102593431522</v>
      </c>
      <c r="G166" s="9">
        <v>835.8489111693566</v>
      </c>
      <c r="H166" s="9">
        <v>2597.7550112210729</v>
      </c>
      <c r="I166" s="24"/>
      <c r="J166" s="9">
        <v>13.481526058964572</v>
      </c>
      <c r="K166" s="9">
        <v>13.635805958888348</v>
      </c>
      <c r="L166" s="22">
        <v>816.90376041045636</v>
      </c>
      <c r="M166" s="22">
        <v>826.25224439159115</v>
      </c>
      <c r="N166" s="22">
        <v>553.33103764018108</v>
      </c>
    </row>
    <row r="167" spans="2:14" x14ac:dyDescent="0.25">
      <c r="B167" s="37">
        <v>163</v>
      </c>
      <c r="D167" s="9">
        <v>13.330143084222104</v>
      </c>
      <c r="E167" s="9">
        <v>13.873929520753693</v>
      </c>
      <c r="F167" s="9">
        <v>802.95134134001557</v>
      </c>
      <c r="G167" s="9">
        <v>835.70673232545494</v>
      </c>
      <c r="H167" s="9">
        <v>2613.9419009186959</v>
      </c>
      <c r="I167" s="24"/>
      <c r="J167" s="9">
        <v>13.563591378364267</v>
      </c>
      <c r="K167" s="9">
        <v>13.718791151455603</v>
      </c>
      <c r="L167" s="22">
        <v>817.01327748958738</v>
      </c>
      <c r="M167" s="22">
        <v>826.36185425969393</v>
      </c>
      <c r="N167" s="22">
        <v>556.63017866639757</v>
      </c>
    </row>
    <row r="168" spans="2:14" x14ac:dyDescent="0.25">
      <c r="B168" s="37">
        <v>164</v>
      </c>
      <c r="D168" s="9">
        <v>13.406360230380349</v>
      </c>
      <c r="E168" s="9">
        <v>13.953472537308555</v>
      </c>
      <c r="F168" s="9">
        <v>802.79209024789748</v>
      </c>
      <c r="G168" s="9">
        <v>835.55396035518629</v>
      </c>
      <c r="H168" s="9">
        <v>2629.9291183310838</v>
      </c>
      <c r="I168" s="24"/>
      <c r="J168" s="9">
        <v>13.643640380360273</v>
      </c>
      <c r="K168" s="9">
        <v>13.799759583228711</v>
      </c>
      <c r="L168" s="22">
        <v>817.00076615271553</v>
      </c>
      <c r="M168" s="22">
        <v>826.34940806930183</v>
      </c>
      <c r="N168" s="22">
        <v>559.92773547542913</v>
      </c>
    </row>
    <row r="169" spans="2:14" x14ac:dyDescent="0.25">
      <c r="B169" s="37">
        <v>165</v>
      </c>
      <c r="D169" s="9">
        <v>13.482354009318989</v>
      </c>
      <c r="E169" s="9">
        <v>14.032735344561923</v>
      </c>
      <c r="F169" s="9">
        <v>802.62140441157328</v>
      </c>
      <c r="G169" s="9">
        <v>835.38629398124817</v>
      </c>
      <c r="H169" s="9">
        <v>2645.643099984728</v>
      </c>
      <c r="I169" s="24"/>
      <c r="J169" s="9">
        <v>13.722887546968817</v>
      </c>
      <c r="K169" s="9">
        <v>13.879925440630281</v>
      </c>
      <c r="L169" s="22">
        <v>816.94066688333066</v>
      </c>
      <c r="M169" s="22">
        <v>826.28932919180284</v>
      </c>
      <c r="N169" s="22">
        <v>563.22265192248267</v>
      </c>
    </row>
    <row r="170" spans="2:14" x14ac:dyDescent="0.25">
      <c r="B170" s="37">
        <v>166</v>
      </c>
      <c r="D170" s="9">
        <v>13.559107092142925</v>
      </c>
      <c r="E170" s="9">
        <v>14.112950937402395</v>
      </c>
      <c r="F170" s="9">
        <v>802.49764280054148</v>
      </c>
      <c r="G170" s="9">
        <v>835.27696796405939</v>
      </c>
      <c r="H170" s="9">
        <v>2662.2871341248756</v>
      </c>
      <c r="I170" s="24"/>
      <c r="J170" s="9">
        <v>13.801326659293913</v>
      </c>
      <c r="K170" s="9">
        <v>13.959284426122926</v>
      </c>
      <c r="L170" s="22">
        <v>816.83344163728589</v>
      </c>
      <c r="M170" s="22">
        <v>826.18219407953006</v>
      </c>
      <c r="N170" s="22">
        <v>566.52179294870075</v>
      </c>
    </row>
    <row r="171" spans="2:14" x14ac:dyDescent="0.25">
      <c r="B171" s="37">
        <v>167</v>
      </c>
      <c r="D171" s="9">
        <v>13.634263661625152</v>
      </c>
      <c r="E171" s="9">
        <v>14.19116337739227</v>
      </c>
      <c r="F171" s="9">
        <v>802.28136827915364</v>
      </c>
      <c r="G171" s="9">
        <v>835.05103425073412</v>
      </c>
      <c r="H171" s="9">
        <v>2676.9764816832212</v>
      </c>
      <c r="I171" s="24"/>
      <c r="J171" s="9">
        <v>13.888121293748739</v>
      </c>
      <c r="K171" s="9">
        <v>14.046998490354863</v>
      </c>
      <c r="L171" s="22">
        <v>817.2191202181491</v>
      </c>
      <c r="M171" s="22">
        <v>826.56793566171984</v>
      </c>
      <c r="N171" s="22">
        <v>569.81934975773095</v>
      </c>
    </row>
    <row r="172" spans="2:14" x14ac:dyDescent="0.25">
      <c r="B172" s="37">
        <v>168</v>
      </c>
      <c r="D172" s="9">
        <v>13.710758827413382</v>
      </c>
      <c r="E172" s="9">
        <v>14.271055466179481</v>
      </c>
      <c r="F172" s="9">
        <v>802.14589404843241</v>
      </c>
      <c r="G172" s="9">
        <v>834.92596507825397</v>
      </c>
      <c r="H172" s="9">
        <v>2693.3052437940382</v>
      </c>
      <c r="I172" s="24"/>
      <c r="J172" s="9">
        <v>13.96255768363366</v>
      </c>
      <c r="K172" s="9">
        <v>14.122353571032809</v>
      </c>
      <c r="L172" s="22">
        <v>816.87734846212606</v>
      </c>
      <c r="M172" s="22">
        <v>826.22618294871688</v>
      </c>
      <c r="N172" s="22">
        <v>573.11426620478562</v>
      </c>
    </row>
    <row r="173" spans="2:14" x14ac:dyDescent="0.25">
      <c r="B173" s="37">
        <v>169</v>
      </c>
      <c r="D173" s="9">
        <v>13.787137907405768</v>
      </c>
      <c r="E173" s="9">
        <v>14.350801955012935</v>
      </c>
      <c r="F173" s="9">
        <v>802.00521532155472</v>
      </c>
      <c r="G173" s="9">
        <v>834.79385564025199</v>
      </c>
      <c r="H173" s="9">
        <v>2709.4921334916658</v>
      </c>
      <c r="I173" s="24"/>
      <c r="J173" s="9">
        <v>14.043017727633544</v>
      </c>
      <c r="K173" s="9">
        <v>14.203733241872213</v>
      </c>
      <c r="L173" s="22">
        <v>816.8898818634035</v>
      </c>
      <c r="M173" s="22">
        <v>826.23878962570723</v>
      </c>
      <c r="N173" s="22">
        <v>576.41252711034338</v>
      </c>
    </row>
    <row r="174" spans="2:14" x14ac:dyDescent="0.25">
      <c r="B174" s="37">
        <v>170</v>
      </c>
      <c r="D174" s="9">
        <v>13.86285166413297</v>
      </c>
      <c r="E174" s="9">
        <v>14.429713687452505</v>
      </c>
      <c r="F174" s="9">
        <v>801.82765290390978</v>
      </c>
      <c r="G174" s="9">
        <v>834.61496511721487</v>
      </c>
      <c r="H174" s="9">
        <v>2724.8645704468745</v>
      </c>
      <c r="I174" s="24"/>
      <c r="J174" s="9">
        <v>14.127072392575913</v>
      </c>
      <c r="K174" s="9">
        <v>14.288706597607597</v>
      </c>
      <c r="L174" s="22">
        <v>817.11018579604956</v>
      </c>
      <c r="M174" s="22">
        <v>826.45911186043656</v>
      </c>
      <c r="N174" s="22">
        <v>579.70744355739691</v>
      </c>
    </row>
    <row r="175" spans="2:14" x14ac:dyDescent="0.25">
      <c r="B175" s="37">
        <v>171</v>
      </c>
      <c r="D175" s="9">
        <v>13.939882517515484</v>
      </c>
      <c r="E175" s="9">
        <v>14.51027810345391</v>
      </c>
      <c r="F175" s="9">
        <v>801.7278473409483</v>
      </c>
      <c r="G175" s="9">
        <v>834.53314714692533</v>
      </c>
      <c r="H175" s="9">
        <v>2741.8501492854516</v>
      </c>
      <c r="I175" s="24"/>
      <c r="J175" s="9">
        <v>14.203100930907077</v>
      </c>
      <c r="K175" s="9">
        <v>14.365655058371916</v>
      </c>
      <c r="L175" s="22">
        <v>816.86639185047216</v>
      </c>
      <c r="M175" s="22">
        <v>826.2154068457578</v>
      </c>
      <c r="N175" s="22">
        <v>583.00676060774629</v>
      </c>
    </row>
    <row r="176" spans="2:14" x14ac:dyDescent="0.25">
      <c r="B176" s="37">
        <v>172</v>
      </c>
      <c r="D176" s="9">
        <v>14.015724563595448</v>
      </c>
      <c r="E176" s="9">
        <v>14.589350918755034</v>
      </c>
      <c r="F176" s="9">
        <v>801.56117513908964</v>
      </c>
      <c r="G176" s="9">
        <v>834.36694363476556</v>
      </c>
      <c r="H176" s="9">
        <v>2757.3802222553254</v>
      </c>
      <c r="I176" s="24"/>
      <c r="J176" s="9">
        <v>14.282779106363385</v>
      </c>
      <c r="K176" s="9">
        <v>14.446251431965205</v>
      </c>
      <c r="L176" s="22">
        <v>816.83406040135458</v>
      </c>
      <c r="M176" s="22">
        <v>826.18306471558469</v>
      </c>
      <c r="N176" s="22">
        <v>586.29991681348349</v>
      </c>
    </row>
    <row r="177" spans="2:14" x14ac:dyDescent="0.25">
      <c r="B177" s="37">
        <v>173</v>
      </c>
      <c r="D177" s="9">
        <v>14.092089877413773</v>
      </c>
      <c r="E177" s="9">
        <v>14.669080362063552</v>
      </c>
      <c r="F177" s="9">
        <v>801.42612376591546</v>
      </c>
      <c r="G177" s="9">
        <v>834.23993999794413</v>
      </c>
      <c r="H177" s="9">
        <v>2773.5513483514837</v>
      </c>
      <c r="I177" s="24"/>
      <c r="J177" s="9">
        <v>14.363997829671128</v>
      </c>
      <c r="K177" s="9">
        <v>14.52839126008063</v>
      </c>
      <c r="L177" s="22">
        <v>816.889702134657</v>
      </c>
      <c r="M177" s="22">
        <v>826.2388611913866</v>
      </c>
      <c r="N177" s="22">
        <v>589.60345844299422</v>
      </c>
    </row>
    <row r="178" spans="2:14" x14ac:dyDescent="0.25">
      <c r="B178" s="37">
        <v>174</v>
      </c>
      <c r="D178" s="9">
        <v>14.167910038595364</v>
      </c>
      <c r="E178" s="9">
        <v>14.748125826881486</v>
      </c>
      <c r="F178" s="9">
        <v>801.26174202587879</v>
      </c>
      <c r="G178" s="9">
        <v>834.07566532201713</v>
      </c>
      <c r="H178" s="9">
        <v>2789.0551486522477</v>
      </c>
      <c r="I178" s="24"/>
      <c r="J178" s="9">
        <v>14.443199830420006</v>
      </c>
      <c r="K178" s="9">
        <v>14.60851145896647</v>
      </c>
      <c r="L178" s="22">
        <v>816.8306705099294</v>
      </c>
      <c r="M178" s="22">
        <v>826.17981820393936</v>
      </c>
      <c r="N178" s="22">
        <v>592.89661464873132</v>
      </c>
    </row>
    <row r="179" spans="2:14" x14ac:dyDescent="0.25">
      <c r="B179" s="37">
        <v>175</v>
      </c>
      <c r="D179" s="9">
        <v>14.243996014864136</v>
      </c>
      <c r="E179" s="9">
        <v>14.8275048800381</v>
      </c>
      <c r="F179" s="9">
        <v>801.11412669242952</v>
      </c>
      <c r="G179" s="9">
        <v>833.93196758857437</v>
      </c>
      <c r="H179" s="9">
        <v>2804.884730049977</v>
      </c>
      <c r="I179" s="24"/>
      <c r="J179" s="9">
        <v>14.5236524833964</v>
      </c>
      <c r="K179" s="9">
        <v>14.689882802735893</v>
      </c>
      <c r="L179" s="22">
        <v>816.84263064092283</v>
      </c>
      <c r="M179" s="22">
        <v>826.19179480584501</v>
      </c>
      <c r="N179" s="22">
        <v>596.19153109578497</v>
      </c>
    </row>
    <row r="180" spans="2:14" x14ac:dyDescent="0.25">
      <c r="B180" s="37">
        <v>176</v>
      </c>
      <c r="D180" s="9">
        <v>14.32011610128192</v>
      </c>
      <c r="E180" s="9">
        <v>14.906926788279391</v>
      </c>
      <c r="F180" s="9">
        <v>800.97004139558305</v>
      </c>
      <c r="G180" s="9">
        <v>833.7922459734956</v>
      </c>
      <c r="H180" s="9">
        <v>2820.7563477182789</v>
      </c>
      <c r="I180" s="24"/>
      <c r="J180" s="9">
        <v>14.604880405019474</v>
      </c>
      <c r="K180" s="9">
        <v>14.772030843854553</v>
      </c>
      <c r="L180" s="22">
        <v>816.89782260485936</v>
      </c>
      <c r="M180" s="22">
        <v>826.24708297161283</v>
      </c>
      <c r="N180" s="22">
        <v>599.4915522426619</v>
      </c>
    </row>
    <row r="181" spans="2:14" x14ac:dyDescent="0.25">
      <c r="B181" s="37">
        <v>177</v>
      </c>
      <c r="D181" s="9">
        <v>14.396866700840651</v>
      </c>
      <c r="E181" s="9">
        <v>14.987139897854656</v>
      </c>
      <c r="F181" s="9">
        <v>800.86260471069875</v>
      </c>
      <c r="G181" s="9">
        <v>833.69806397239665</v>
      </c>
      <c r="H181" s="9">
        <v>2837.4003818584215</v>
      </c>
      <c r="I181" s="24"/>
      <c r="J181" s="9">
        <v>14.678607903162366</v>
      </c>
      <c r="K181" s="9">
        <v>14.846676540134407</v>
      </c>
      <c r="L181" s="22">
        <v>816.53518110070718</v>
      </c>
      <c r="M181" s="22">
        <v>825.8844297374086</v>
      </c>
      <c r="N181" s="22">
        <v>602.78470844839751</v>
      </c>
    </row>
    <row r="182" spans="2:14" x14ac:dyDescent="0.25">
      <c r="B182" s="37">
        <v>178</v>
      </c>
      <c r="D182" s="9">
        <v>14.472578741582012</v>
      </c>
      <c r="E182" s="9">
        <v>15.06604991430839</v>
      </c>
      <c r="F182" s="9">
        <v>800.69887730111873</v>
      </c>
      <c r="G182" s="9">
        <v>833.53281175036011</v>
      </c>
      <c r="H182" s="9">
        <v>2852.7728188136302</v>
      </c>
      <c r="I182" s="24"/>
      <c r="J182" s="9">
        <v>14.766569741049739</v>
      </c>
      <c r="K182" s="9">
        <v>14.935558300454943</v>
      </c>
      <c r="L182" s="22">
        <v>816.96399959989094</v>
      </c>
      <c r="M182" s="22">
        <v>826.31333203114013</v>
      </c>
      <c r="N182" s="22">
        <v>606.08402549874688</v>
      </c>
    </row>
    <row r="183" spans="2:14" x14ac:dyDescent="0.25">
      <c r="B183" s="37">
        <v>179</v>
      </c>
      <c r="D183" s="9">
        <v>14.549607787131801</v>
      </c>
      <c r="E183" s="9">
        <v>15.146612522477081</v>
      </c>
      <c r="F183" s="9">
        <v>800.60938966600304</v>
      </c>
      <c r="G183" s="9">
        <v>833.46028185398563</v>
      </c>
      <c r="H183" s="9">
        <v>2869.7583976522073</v>
      </c>
      <c r="I183" s="24"/>
      <c r="J183" s="9">
        <v>14.842646723430475</v>
      </c>
      <c r="K183" s="9">
        <v>15.012555451596869</v>
      </c>
      <c r="L183" s="22">
        <v>816.73420398202563</v>
      </c>
      <c r="M183" s="22">
        <v>826.0836328564269</v>
      </c>
      <c r="N183" s="22">
        <v>609.38422266975397</v>
      </c>
    </row>
    <row r="184" spans="2:14" x14ac:dyDescent="0.25">
      <c r="B184" s="37">
        <v>180</v>
      </c>
      <c r="D184" s="9">
        <v>14.624761632472721</v>
      </c>
      <c r="E184" s="9">
        <v>15.224822238325643</v>
      </c>
      <c r="F184" s="9">
        <v>800.41823391116964</v>
      </c>
      <c r="G184" s="9">
        <v>833.25975724307887</v>
      </c>
      <c r="H184" s="9">
        <v>2884.4477452105534</v>
      </c>
      <c r="I184" s="24"/>
      <c r="J184" s="9">
        <v>14.926981498524093</v>
      </c>
      <c r="K184" s="9">
        <v>15.097809360873946</v>
      </c>
      <c r="L184" s="22">
        <v>816.95883111998785</v>
      </c>
      <c r="M184" s="22">
        <v>826.30829877772294</v>
      </c>
      <c r="N184" s="22">
        <v>612.68072333399516</v>
      </c>
    </row>
    <row r="185" spans="2:14" x14ac:dyDescent="0.25">
      <c r="B185" s="37">
        <v>181</v>
      </c>
      <c r="D185" s="9">
        <v>14.700601764900474</v>
      </c>
      <c r="E185" s="9">
        <v>15.303893139974551</v>
      </c>
      <c r="F185" s="9">
        <v>800.26648247169408</v>
      </c>
      <c r="G185" s="9">
        <v>833.10825822734876</v>
      </c>
      <c r="H185" s="9">
        <v>2899.9778181804268</v>
      </c>
      <c r="I185" s="24"/>
      <c r="J185" s="9">
        <v>15.009796057027549</v>
      </c>
      <c r="K185" s="9">
        <v>15.181542610170434</v>
      </c>
      <c r="L185" s="22">
        <v>817.09829878221058</v>
      </c>
      <c r="M185" s="22">
        <v>826.44778067134359</v>
      </c>
      <c r="N185" s="22">
        <v>615.97563978104859</v>
      </c>
    </row>
    <row r="186" spans="2:14" x14ac:dyDescent="0.25">
      <c r="B186" s="37">
        <v>182</v>
      </c>
      <c r="D186" s="9">
        <v>14.777630151563708</v>
      </c>
      <c r="E186" s="9">
        <v>15.384455089256676</v>
      </c>
      <c r="F186" s="9">
        <v>800.18068712579293</v>
      </c>
      <c r="G186" s="9">
        <v>833.03910830889754</v>
      </c>
      <c r="H186" s="9">
        <v>2916.9633970190039</v>
      </c>
      <c r="I186" s="24"/>
      <c r="J186" s="9">
        <v>15.086665214439098</v>
      </c>
      <c r="K186" s="9">
        <v>15.259332675327249</v>
      </c>
      <c r="L186" s="22">
        <v>816.91435053605403</v>
      </c>
      <c r="M186" s="22">
        <v>826.26396654895211</v>
      </c>
      <c r="N186" s="22">
        <v>619.27847731403324</v>
      </c>
    </row>
    <row r="187" spans="2:14" x14ac:dyDescent="0.25">
      <c r="B187" s="37">
        <v>183</v>
      </c>
      <c r="D187" s="9">
        <v>14.853341148113477</v>
      </c>
      <c r="E187" s="9">
        <v>15.463364061518812</v>
      </c>
      <c r="F187" s="9">
        <v>800.02484291687608</v>
      </c>
      <c r="G187" s="9">
        <v>832.88165813483022</v>
      </c>
      <c r="H187" s="9">
        <v>2932.3358339742122</v>
      </c>
      <c r="I187" s="24"/>
      <c r="J187" s="9">
        <v>15.168311599877303</v>
      </c>
      <c r="K187" s="9">
        <v>15.341897455964837</v>
      </c>
      <c r="L187" s="22">
        <v>816.98965801693305</v>
      </c>
      <c r="M187" s="22">
        <v>826.339271404535</v>
      </c>
      <c r="N187" s="22">
        <v>622.57233761629664</v>
      </c>
    </row>
    <row r="188" spans="2:14" x14ac:dyDescent="0.25">
      <c r="B188" s="37">
        <v>184</v>
      </c>
      <c r="D188" s="9">
        <v>14.93009021670319</v>
      </c>
      <c r="E188" s="9">
        <v>15.543575640125072</v>
      </c>
      <c r="F188" s="9">
        <v>799.92625712802976</v>
      </c>
      <c r="G188" s="9">
        <v>832.79565653805116</v>
      </c>
      <c r="H188" s="9">
        <v>2948.9798681143538</v>
      </c>
      <c r="I188" s="24"/>
      <c r="J188" s="9">
        <v>15.242871099724514</v>
      </c>
      <c r="K188" s="9">
        <v>15.417374661292966</v>
      </c>
      <c r="L188" s="22">
        <v>816.68447073725042</v>
      </c>
      <c r="M188" s="22">
        <v>826.03404457336796</v>
      </c>
      <c r="N188" s="22">
        <v>625.86373358071455</v>
      </c>
    </row>
    <row r="189" spans="2:14" x14ac:dyDescent="0.25">
      <c r="B189" s="37">
        <v>185</v>
      </c>
      <c r="D189" s="9">
        <v>15.005543378206298</v>
      </c>
      <c r="E189" s="9">
        <v>15.622161190322986</v>
      </c>
      <c r="F189" s="9">
        <v>799.7596348974937</v>
      </c>
      <c r="G189" s="9">
        <v>832.62389204968497</v>
      </c>
      <c r="H189" s="9">
        <v>2964.0370330402443</v>
      </c>
      <c r="I189" s="24"/>
      <c r="J189" s="9">
        <v>15.329187432802968</v>
      </c>
      <c r="K189" s="9">
        <v>15.504611902116681</v>
      </c>
      <c r="L189" s="22">
        <v>817.00909027655757</v>
      </c>
      <c r="M189" s="22">
        <v>826.35879564838604</v>
      </c>
      <c r="N189" s="22">
        <v>629.16657111369943</v>
      </c>
    </row>
    <row r="190" spans="2:14" x14ac:dyDescent="0.25">
      <c r="B190" s="37">
        <v>186</v>
      </c>
      <c r="D190" s="9">
        <v>15.082292017363345</v>
      </c>
      <c r="E190" s="9">
        <v>15.702372339496568</v>
      </c>
      <c r="F190" s="9">
        <v>799.6634345671863</v>
      </c>
      <c r="G190" s="9">
        <v>832.54010606603617</v>
      </c>
      <c r="H190" s="9">
        <v>2980.6810671803864</v>
      </c>
      <c r="I190" s="24"/>
      <c r="J190" s="9">
        <v>15.403764820025566</v>
      </c>
      <c r="K190" s="9">
        <v>15.580107684538671</v>
      </c>
      <c r="L190" s="22">
        <v>816.70792921036536</v>
      </c>
      <c r="M190" s="22">
        <v>826.05763153250734</v>
      </c>
      <c r="N190" s="22">
        <v>632.46043141596397</v>
      </c>
    </row>
    <row r="191" spans="2:14" x14ac:dyDescent="0.25">
      <c r="B191" s="37">
        <v>187</v>
      </c>
      <c r="D191" s="9">
        <v>15.158109447940298</v>
      </c>
      <c r="E191" s="9">
        <v>15.78141507370988</v>
      </c>
      <c r="F191" s="9">
        <v>799.51911425041487</v>
      </c>
      <c r="G191" s="9">
        <v>832.39555992684529</v>
      </c>
      <c r="H191" s="9">
        <v>2996.1848674811508</v>
      </c>
      <c r="I191" s="24"/>
      <c r="J191" s="9">
        <v>15.48687835436658</v>
      </c>
      <c r="K191" s="9">
        <v>15.664140648656801</v>
      </c>
      <c r="L191" s="22">
        <v>816.86013067213867</v>
      </c>
      <c r="M191" s="22">
        <v>826.20988454531516</v>
      </c>
      <c r="N191" s="22">
        <v>635.75798822499439</v>
      </c>
    </row>
    <row r="192" spans="2:14" x14ac:dyDescent="0.25">
      <c r="B192" s="37">
        <v>188</v>
      </c>
      <c r="D192" s="9">
        <v>15.234471536160676</v>
      </c>
      <c r="E192" s="9">
        <v>15.861141291420441</v>
      </c>
      <c r="F192" s="9">
        <v>799.4048618226135</v>
      </c>
      <c r="G192" s="9">
        <v>832.28836867237555</v>
      </c>
      <c r="H192" s="9">
        <v>3012.3559935773083</v>
      </c>
      <c r="I192" s="24"/>
      <c r="J192" s="9">
        <v>15.562623183062961</v>
      </c>
      <c r="K192" s="9">
        <v>15.740804168146189</v>
      </c>
      <c r="L192" s="22">
        <v>816.62410184194243</v>
      </c>
      <c r="M192" s="22">
        <v>825.9738679576742</v>
      </c>
      <c r="N192" s="22">
        <v>639.05290467204929</v>
      </c>
    </row>
    <row r="193" spans="2:14" x14ac:dyDescent="0.25">
      <c r="B193" s="37">
        <v>189</v>
      </c>
      <c r="D193" s="9">
        <v>15.310310009832698</v>
      </c>
      <c r="E193" s="9">
        <v>15.940210534313607</v>
      </c>
      <c r="F193" s="9">
        <v>799.26444626893237</v>
      </c>
      <c r="G193" s="9">
        <v>832.14797988650196</v>
      </c>
      <c r="H193" s="9">
        <v>3027.8860665471825</v>
      </c>
      <c r="I193" s="24"/>
      <c r="J193" s="9">
        <v>15.653183487389569</v>
      </c>
      <c r="K193" s="9">
        <v>15.83228587287412</v>
      </c>
      <c r="L193" s="22">
        <v>817.16392577024851</v>
      </c>
      <c r="M193" s="22">
        <v>826.51384545625228</v>
      </c>
      <c r="N193" s="22">
        <v>642.35750244635199</v>
      </c>
    </row>
    <row r="194" spans="2:14" x14ac:dyDescent="0.25">
      <c r="B194" s="37">
        <v>190</v>
      </c>
      <c r="D194" s="9">
        <v>15.387336654602853</v>
      </c>
      <c r="E194" s="9">
        <v>16.020770741702673</v>
      </c>
      <c r="F194" s="9">
        <v>799.18717473308311</v>
      </c>
      <c r="G194" s="9">
        <v>832.08646132258548</v>
      </c>
      <c r="H194" s="9">
        <v>3044.8716453857596</v>
      </c>
      <c r="I194" s="24"/>
      <c r="J194" s="9">
        <v>15.719998449485349</v>
      </c>
      <c r="K194" s="9">
        <v>15.900018737513241</v>
      </c>
      <c r="L194" s="22">
        <v>816.4649561946494</v>
      </c>
      <c r="M194" s="22">
        <v>825.81484621220557</v>
      </c>
      <c r="N194" s="22">
        <v>645.64960250729723</v>
      </c>
    </row>
    <row r="195" spans="2:14" x14ac:dyDescent="0.25">
      <c r="B195" s="37">
        <v>191</v>
      </c>
      <c r="D195" s="9">
        <v>15.463046013135438</v>
      </c>
      <c r="E195" s="9">
        <v>16.099678075947622</v>
      </c>
      <c r="F195" s="9">
        <v>799.04261778967259</v>
      </c>
      <c r="G195" s="9">
        <v>831.94015619227218</v>
      </c>
      <c r="H195" s="9">
        <v>3060.2440823409684</v>
      </c>
      <c r="I195" s="24"/>
      <c r="J195" s="9">
        <v>15.805515818859897</v>
      </c>
      <c r="K195" s="9">
        <v>15.986455044008835</v>
      </c>
      <c r="L195" s="22">
        <v>816.73951721346884</v>
      </c>
      <c r="M195" s="22">
        <v>826.08943132489469</v>
      </c>
      <c r="N195" s="22">
        <v>648.94539907500996</v>
      </c>
    </row>
    <row r="196" spans="2:14" x14ac:dyDescent="0.25">
      <c r="B196" s="37">
        <v>192</v>
      </c>
      <c r="D196" s="9">
        <v>15.539420135548568</v>
      </c>
      <c r="E196" s="9">
        <v>16.179419607201822</v>
      </c>
      <c r="F196" s="9">
        <v>798.9336987577118</v>
      </c>
      <c r="G196" s="9">
        <v>831.83821775718263</v>
      </c>
      <c r="H196" s="9">
        <v>3076.4309720385959</v>
      </c>
      <c r="I196" s="24"/>
      <c r="J196" s="9">
        <v>15.886741405647934</v>
      </c>
      <c r="K196" s="9">
        <v>16.068600306901999</v>
      </c>
      <c r="L196" s="22">
        <v>816.79064995391013</v>
      </c>
      <c r="M196" s="22">
        <v>826.14062590948299</v>
      </c>
      <c r="N196" s="22">
        <v>652.24383600470026</v>
      </c>
    </row>
    <row r="197" spans="2:14" x14ac:dyDescent="0.25">
      <c r="B197" s="37">
        <v>193</v>
      </c>
      <c r="D197" s="9">
        <v>15.615244925186349</v>
      </c>
      <c r="E197" s="9">
        <v>16.258471886709881</v>
      </c>
      <c r="F197" s="9">
        <v>798.79777327411171</v>
      </c>
      <c r="G197" s="9">
        <v>831.70204515947489</v>
      </c>
      <c r="H197" s="9">
        <v>3091.945281407</v>
      </c>
      <c r="I197" s="24"/>
      <c r="J197" s="9">
        <v>15.962524031621941</v>
      </c>
      <c r="K197" s="9">
        <v>16.145301328075405</v>
      </c>
      <c r="L197" s="22">
        <v>816.56283416521148</v>
      </c>
      <c r="M197" s="22">
        <v>825.91280581865624</v>
      </c>
      <c r="N197" s="22">
        <v>655.53769630696343</v>
      </c>
    </row>
    <row r="198" spans="2:14" x14ac:dyDescent="0.25">
      <c r="B198" s="37">
        <v>194</v>
      </c>
      <c r="D198" s="9">
        <v>15.691060936812335</v>
      </c>
      <c r="E198" s="9">
        <v>16.337513201972218</v>
      </c>
      <c r="F198" s="9">
        <v>798.66276025139496</v>
      </c>
      <c r="G198" s="9">
        <v>831.56667621619056</v>
      </c>
      <c r="H198" s="9">
        <v>3107.449081707764</v>
      </c>
      <c r="I198" s="24"/>
      <c r="J198" s="9">
        <v>16.04871322545948</v>
      </c>
      <c r="K198" s="9">
        <v>16.232410444346101</v>
      </c>
      <c r="L198" s="22">
        <v>816.86698271993555</v>
      </c>
      <c r="M198" s="22">
        <v>826.21702784928027</v>
      </c>
      <c r="N198" s="22">
        <v>658.8370133573128</v>
      </c>
    </row>
    <row r="199" spans="2:14" x14ac:dyDescent="0.25">
      <c r="B199" s="37">
        <v>195</v>
      </c>
    </row>
    <row r="200" spans="2:14" x14ac:dyDescent="0.25">
      <c r="B200" s="37">
        <v>196</v>
      </c>
    </row>
    <row r="201" spans="2:14" x14ac:dyDescent="0.25">
      <c r="B201" s="37">
        <v>197</v>
      </c>
    </row>
    <row r="202" spans="2:14" x14ac:dyDescent="0.25">
      <c r="B202" s="37">
        <v>198</v>
      </c>
    </row>
    <row r="203" spans="2:14" x14ac:dyDescent="0.25">
      <c r="B203" s="37">
        <v>199</v>
      </c>
    </row>
    <row r="204" spans="2:14" x14ac:dyDescent="0.25">
      <c r="B204" s="37">
        <v>200</v>
      </c>
    </row>
    <row r="205" spans="2:14" x14ac:dyDescent="0.25">
      <c r="B205" s="37">
        <v>201</v>
      </c>
    </row>
    <row r="206" spans="2:14" x14ac:dyDescent="0.25">
      <c r="B206" s="37">
        <v>202</v>
      </c>
    </row>
    <row r="207" spans="2:14" x14ac:dyDescent="0.25">
      <c r="B207" s="37">
        <v>203</v>
      </c>
    </row>
    <row r="208" spans="2:14" x14ac:dyDescent="0.25">
      <c r="B208" s="37">
        <v>204</v>
      </c>
    </row>
    <row r="209" spans="2:2" x14ac:dyDescent="0.25">
      <c r="B209" s="37">
        <v>205</v>
      </c>
    </row>
    <row r="210" spans="2:2" x14ac:dyDescent="0.25">
      <c r="B210" s="37">
        <v>206</v>
      </c>
    </row>
    <row r="211" spans="2:2" x14ac:dyDescent="0.25">
      <c r="B211" s="37">
        <v>207</v>
      </c>
    </row>
    <row r="212" spans="2:2" x14ac:dyDescent="0.25">
      <c r="B212" s="37">
        <v>208</v>
      </c>
    </row>
    <row r="213" spans="2:2" x14ac:dyDescent="0.25">
      <c r="B213" s="37">
        <v>209</v>
      </c>
    </row>
    <row r="214" spans="2:2" x14ac:dyDescent="0.25">
      <c r="B214" s="37">
        <v>210</v>
      </c>
    </row>
    <row r="215" spans="2:2" x14ac:dyDescent="0.25">
      <c r="B215" s="37">
        <v>211</v>
      </c>
    </row>
    <row r="216" spans="2:2" x14ac:dyDescent="0.25">
      <c r="B216" s="37">
        <v>212</v>
      </c>
    </row>
    <row r="217" spans="2:2" x14ac:dyDescent="0.25">
      <c r="B217" s="37">
        <v>213</v>
      </c>
    </row>
    <row r="218" spans="2:2" x14ac:dyDescent="0.25">
      <c r="B218" s="37">
        <v>214</v>
      </c>
    </row>
    <row r="219" spans="2:2" x14ac:dyDescent="0.25">
      <c r="B219" s="37">
        <v>215</v>
      </c>
    </row>
    <row r="220" spans="2:2" x14ac:dyDescent="0.25">
      <c r="B220" s="37">
        <v>216</v>
      </c>
    </row>
    <row r="221" spans="2:2" x14ac:dyDescent="0.25">
      <c r="B221" s="37">
        <v>217</v>
      </c>
    </row>
    <row r="222" spans="2:2" x14ac:dyDescent="0.25">
      <c r="B222" s="37">
        <v>218</v>
      </c>
    </row>
    <row r="223" spans="2:2" x14ac:dyDescent="0.25">
      <c r="B223" s="37">
        <v>219</v>
      </c>
    </row>
    <row r="224" spans="2:2" x14ac:dyDescent="0.25">
      <c r="B224" s="37">
        <v>220</v>
      </c>
    </row>
    <row r="225" spans="2:2" x14ac:dyDescent="0.25">
      <c r="B225" s="37">
        <v>221</v>
      </c>
    </row>
    <row r="226" spans="2:2" x14ac:dyDescent="0.25">
      <c r="B226" s="37">
        <v>222</v>
      </c>
    </row>
    <row r="227" spans="2:2" x14ac:dyDescent="0.25">
      <c r="B227" s="37">
        <v>223</v>
      </c>
    </row>
    <row r="228" spans="2:2" x14ac:dyDescent="0.25">
      <c r="B228" s="37">
        <v>224</v>
      </c>
    </row>
    <row r="229" spans="2:2" x14ac:dyDescent="0.25">
      <c r="B229" s="37">
        <v>225</v>
      </c>
    </row>
    <row r="230" spans="2:2" x14ac:dyDescent="0.25">
      <c r="B230" s="37">
        <v>226</v>
      </c>
    </row>
    <row r="231" spans="2:2" x14ac:dyDescent="0.25">
      <c r="B231" s="37">
        <v>227</v>
      </c>
    </row>
    <row r="232" spans="2:2" x14ac:dyDescent="0.25">
      <c r="B232" s="37">
        <v>228</v>
      </c>
    </row>
    <row r="233" spans="2:2" x14ac:dyDescent="0.25">
      <c r="B233" s="37">
        <v>229</v>
      </c>
    </row>
    <row r="234" spans="2:2" x14ac:dyDescent="0.25">
      <c r="B234" s="37">
        <v>230</v>
      </c>
    </row>
    <row r="235" spans="2:2" x14ac:dyDescent="0.25">
      <c r="B235" s="37">
        <v>231</v>
      </c>
    </row>
    <row r="236" spans="2:2" x14ac:dyDescent="0.25">
      <c r="B236" s="37">
        <v>232</v>
      </c>
    </row>
    <row r="237" spans="2:2" x14ac:dyDescent="0.25">
      <c r="B237" s="37">
        <v>233</v>
      </c>
    </row>
    <row r="238" spans="2:2" x14ac:dyDescent="0.25">
      <c r="B238" s="37">
        <v>234</v>
      </c>
    </row>
    <row r="239" spans="2:2" x14ac:dyDescent="0.25">
      <c r="B239" s="37">
        <v>235</v>
      </c>
    </row>
    <row r="240" spans="2:2" x14ac:dyDescent="0.25">
      <c r="B240" s="37">
        <v>236</v>
      </c>
    </row>
    <row r="241" spans="2:2" x14ac:dyDescent="0.25">
      <c r="B241" s="37">
        <v>237</v>
      </c>
    </row>
    <row r="242" spans="2:2" x14ac:dyDescent="0.25">
      <c r="B242" s="37">
        <v>238</v>
      </c>
    </row>
    <row r="243" spans="2:2" x14ac:dyDescent="0.25">
      <c r="B243" s="37">
        <v>239</v>
      </c>
    </row>
    <row r="244" spans="2:2" x14ac:dyDescent="0.25">
      <c r="B244" s="37">
        <v>240</v>
      </c>
    </row>
    <row r="245" spans="2:2" x14ac:dyDescent="0.25">
      <c r="B245" s="37">
        <v>241</v>
      </c>
    </row>
    <row r="246" spans="2:2" x14ac:dyDescent="0.25">
      <c r="B246" s="37">
        <v>242</v>
      </c>
    </row>
    <row r="247" spans="2:2" x14ac:dyDescent="0.25">
      <c r="B247" s="37">
        <v>243</v>
      </c>
    </row>
    <row r="248" spans="2:2" x14ac:dyDescent="0.25">
      <c r="B248" s="37">
        <v>244</v>
      </c>
    </row>
    <row r="249" spans="2:2" x14ac:dyDescent="0.25">
      <c r="B249" s="37">
        <v>245</v>
      </c>
    </row>
    <row r="250" spans="2:2" x14ac:dyDescent="0.25">
      <c r="B250" s="37">
        <v>246</v>
      </c>
    </row>
    <row r="251" spans="2:2" x14ac:dyDescent="0.25">
      <c r="B251" s="37">
        <v>247</v>
      </c>
    </row>
    <row r="252" spans="2:2" x14ac:dyDescent="0.25">
      <c r="B252" s="37">
        <v>248</v>
      </c>
    </row>
    <row r="253" spans="2:2" x14ac:dyDescent="0.25">
      <c r="B253" s="37">
        <v>249</v>
      </c>
    </row>
    <row r="254" spans="2:2" x14ac:dyDescent="0.25">
      <c r="B254" s="37">
        <v>250</v>
      </c>
    </row>
    <row r="255" spans="2:2" x14ac:dyDescent="0.25">
      <c r="B255" s="37">
        <v>251</v>
      </c>
    </row>
    <row r="256" spans="2:2" x14ac:dyDescent="0.25">
      <c r="B256" s="37">
        <v>252</v>
      </c>
    </row>
    <row r="257" spans="2:2" x14ac:dyDescent="0.25">
      <c r="B257" s="37">
        <v>253</v>
      </c>
    </row>
    <row r="258" spans="2:2" x14ac:dyDescent="0.25">
      <c r="B258" s="37">
        <v>254</v>
      </c>
    </row>
    <row r="259" spans="2:2" x14ac:dyDescent="0.25">
      <c r="B259" s="37">
        <v>255</v>
      </c>
    </row>
    <row r="260" spans="2:2" x14ac:dyDescent="0.25">
      <c r="B260" s="37">
        <v>256</v>
      </c>
    </row>
    <row r="261" spans="2:2" x14ac:dyDescent="0.25">
      <c r="B261" s="37">
        <v>257</v>
      </c>
    </row>
    <row r="262" spans="2:2" x14ac:dyDescent="0.25">
      <c r="B262" s="37">
        <v>258</v>
      </c>
    </row>
    <row r="263" spans="2:2" x14ac:dyDescent="0.25">
      <c r="B263" s="37">
        <v>259</v>
      </c>
    </row>
    <row r="264" spans="2:2" x14ac:dyDescent="0.25">
      <c r="B264" s="37">
        <v>260</v>
      </c>
    </row>
    <row r="265" spans="2:2" x14ac:dyDescent="0.25">
      <c r="B265" s="37">
        <v>261</v>
      </c>
    </row>
    <row r="266" spans="2:2" x14ac:dyDescent="0.25">
      <c r="B266" s="37">
        <v>262</v>
      </c>
    </row>
    <row r="267" spans="2:2" x14ac:dyDescent="0.25">
      <c r="B267" s="37">
        <v>263</v>
      </c>
    </row>
    <row r="268" spans="2:2" x14ac:dyDescent="0.25">
      <c r="B268" s="37">
        <v>264</v>
      </c>
    </row>
    <row r="269" spans="2:2" x14ac:dyDescent="0.25">
      <c r="B269" s="37">
        <v>265</v>
      </c>
    </row>
    <row r="270" spans="2:2" x14ac:dyDescent="0.25">
      <c r="B270" s="37">
        <v>266</v>
      </c>
    </row>
    <row r="271" spans="2:2" x14ac:dyDescent="0.25">
      <c r="B271" s="37">
        <v>267</v>
      </c>
    </row>
    <row r="272" spans="2:2" x14ac:dyDescent="0.25">
      <c r="B272" s="37">
        <v>268</v>
      </c>
    </row>
    <row r="273" spans="2:2" x14ac:dyDescent="0.25">
      <c r="B273" s="37">
        <v>269</v>
      </c>
    </row>
    <row r="274" spans="2:2" x14ac:dyDescent="0.25">
      <c r="B274" s="37">
        <v>270</v>
      </c>
    </row>
    <row r="275" spans="2:2" x14ac:dyDescent="0.25">
      <c r="B275" s="37">
        <v>271</v>
      </c>
    </row>
    <row r="276" spans="2:2" x14ac:dyDescent="0.25">
      <c r="B276" s="37">
        <v>272</v>
      </c>
    </row>
    <row r="277" spans="2:2" x14ac:dyDescent="0.25">
      <c r="B277" s="37">
        <v>273</v>
      </c>
    </row>
    <row r="278" spans="2:2" x14ac:dyDescent="0.25">
      <c r="B278" s="37">
        <v>274</v>
      </c>
    </row>
    <row r="279" spans="2:2" x14ac:dyDescent="0.25">
      <c r="B279" s="37">
        <v>275</v>
      </c>
    </row>
    <row r="280" spans="2:2" x14ac:dyDescent="0.25">
      <c r="B280" s="37">
        <v>276</v>
      </c>
    </row>
    <row r="281" spans="2:2" x14ac:dyDescent="0.25">
      <c r="B281" s="37">
        <v>277</v>
      </c>
    </row>
    <row r="282" spans="2:2" x14ac:dyDescent="0.25">
      <c r="B282" s="37">
        <v>278</v>
      </c>
    </row>
    <row r="283" spans="2:2" x14ac:dyDescent="0.25">
      <c r="B283" s="37">
        <v>279</v>
      </c>
    </row>
    <row r="284" spans="2:2" x14ac:dyDescent="0.25">
      <c r="B284" s="37">
        <v>280</v>
      </c>
    </row>
    <row r="285" spans="2:2" x14ac:dyDescent="0.25">
      <c r="B285" s="37">
        <v>281</v>
      </c>
    </row>
    <row r="286" spans="2:2" x14ac:dyDescent="0.25">
      <c r="B286" s="37">
        <v>282</v>
      </c>
    </row>
    <row r="287" spans="2:2" x14ac:dyDescent="0.25">
      <c r="B287" s="37">
        <v>283</v>
      </c>
    </row>
    <row r="288" spans="2:2" x14ac:dyDescent="0.25">
      <c r="B288" s="37">
        <v>284</v>
      </c>
    </row>
    <row r="289" spans="2:2" x14ac:dyDescent="0.25">
      <c r="B289" s="37">
        <v>285</v>
      </c>
    </row>
    <row r="290" spans="2:2" x14ac:dyDescent="0.25">
      <c r="B290" s="37">
        <v>286</v>
      </c>
    </row>
    <row r="291" spans="2:2" x14ac:dyDescent="0.25">
      <c r="B291" s="37">
        <v>287</v>
      </c>
    </row>
    <row r="292" spans="2:2" x14ac:dyDescent="0.25">
      <c r="B292" s="37">
        <v>288</v>
      </c>
    </row>
    <row r="293" spans="2:2" x14ac:dyDescent="0.25">
      <c r="B293" s="37">
        <v>289</v>
      </c>
    </row>
    <row r="294" spans="2:2" x14ac:dyDescent="0.25">
      <c r="B294" s="37">
        <v>290</v>
      </c>
    </row>
    <row r="295" spans="2:2" x14ac:dyDescent="0.25">
      <c r="B295" s="37">
        <v>291</v>
      </c>
    </row>
    <row r="296" spans="2:2" x14ac:dyDescent="0.25">
      <c r="B296" s="37">
        <v>292</v>
      </c>
    </row>
    <row r="297" spans="2:2" x14ac:dyDescent="0.25">
      <c r="B297" s="37">
        <v>293</v>
      </c>
    </row>
    <row r="298" spans="2:2" x14ac:dyDescent="0.25">
      <c r="B298" s="37">
        <v>294</v>
      </c>
    </row>
    <row r="299" spans="2:2" x14ac:dyDescent="0.25">
      <c r="B299" s="37">
        <v>295</v>
      </c>
    </row>
    <row r="300" spans="2:2" x14ac:dyDescent="0.25">
      <c r="B300" s="37">
        <v>296</v>
      </c>
    </row>
    <row r="301" spans="2:2" x14ac:dyDescent="0.25">
      <c r="B301" s="37">
        <v>297</v>
      </c>
    </row>
    <row r="302" spans="2:2" x14ac:dyDescent="0.25">
      <c r="B302" s="37">
        <v>298</v>
      </c>
    </row>
    <row r="303" spans="2:2" x14ac:dyDescent="0.25">
      <c r="B303" s="37">
        <v>299</v>
      </c>
    </row>
    <row r="304" spans="2:2" x14ac:dyDescent="0.25">
      <c r="B304" s="37">
        <v>300</v>
      </c>
    </row>
    <row r="305" spans="2:2" x14ac:dyDescent="0.25">
      <c r="B305" s="37">
        <v>301</v>
      </c>
    </row>
    <row r="306" spans="2:2" x14ac:dyDescent="0.25">
      <c r="B306" s="37">
        <v>302</v>
      </c>
    </row>
    <row r="307" spans="2:2" x14ac:dyDescent="0.25">
      <c r="B307" s="37">
        <v>303</v>
      </c>
    </row>
    <row r="308" spans="2:2" x14ac:dyDescent="0.25">
      <c r="B308" s="37">
        <v>304</v>
      </c>
    </row>
    <row r="309" spans="2:2" x14ac:dyDescent="0.25">
      <c r="B309" s="37">
        <v>305</v>
      </c>
    </row>
    <row r="310" spans="2:2" x14ac:dyDescent="0.25">
      <c r="B310" s="37">
        <v>306</v>
      </c>
    </row>
    <row r="311" spans="2:2" x14ac:dyDescent="0.25">
      <c r="B311" s="37">
        <v>307</v>
      </c>
    </row>
    <row r="312" spans="2:2" x14ac:dyDescent="0.25">
      <c r="B312" s="37">
        <v>308</v>
      </c>
    </row>
    <row r="313" spans="2:2" x14ac:dyDescent="0.25">
      <c r="B313" s="37">
        <v>309</v>
      </c>
    </row>
    <row r="314" spans="2:2" x14ac:dyDescent="0.25">
      <c r="B314" s="37">
        <v>310</v>
      </c>
    </row>
    <row r="315" spans="2:2" x14ac:dyDescent="0.25">
      <c r="B315" s="37">
        <v>311</v>
      </c>
    </row>
    <row r="316" spans="2:2" x14ac:dyDescent="0.25">
      <c r="B316" s="37">
        <v>312</v>
      </c>
    </row>
    <row r="317" spans="2:2" x14ac:dyDescent="0.25">
      <c r="B317" s="37">
        <v>313</v>
      </c>
    </row>
    <row r="318" spans="2:2" x14ac:dyDescent="0.25">
      <c r="B318" s="37">
        <v>314</v>
      </c>
    </row>
    <row r="319" spans="2:2" x14ac:dyDescent="0.25">
      <c r="B319" s="37">
        <v>315</v>
      </c>
    </row>
    <row r="320" spans="2:2" x14ac:dyDescent="0.25">
      <c r="B320" s="37">
        <v>316</v>
      </c>
    </row>
    <row r="321" spans="2:2" x14ac:dyDescent="0.25">
      <c r="B321" s="37">
        <v>317</v>
      </c>
    </row>
    <row r="322" spans="2:2" x14ac:dyDescent="0.25">
      <c r="B322" s="37">
        <v>318</v>
      </c>
    </row>
    <row r="323" spans="2:2" x14ac:dyDescent="0.25">
      <c r="B323" s="37">
        <v>319</v>
      </c>
    </row>
    <row r="324" spans="2:2" x14ac:dyDescent="0.25">
      <c r="B324" s="37">
        <v>320</v>
      </c>
    </row>
    <row r="325" spans="2:2" x14ac:dyDescent="0.25">
      <c r="B325" s="37">
        <v>321</v>
      </c>
    </row>
    <row r="326" spans="2:2" x14ac:dyDescent="0.25">
      <c r="B326" s="37">
        <v>322</v>
      </c>
    </row>
    <row r="327" spans="2:2" x14ac:dyDescent="0.25">
      <c r="B327" s="37">
        <v>323</v>
      </c>
    </row>
    <row r="328" spans="2:2" x14ac:dyDescent="0.25">
      <c r="B328" s="37">
        <v>324</v>
      </c>
    </row>
    <row r="329" spans="2:2" x14ac:dyDescent="0.25">
      <c r="B329" s="37">
        <v>325</v>
      </c>
    </row>
    <row r="330" spans="2:2" x14ac:dyDescent="0.25">
      <c r="B330" s="37">
        <v>326</v>
      </c>
    </row>
    <row r="331" spans="2:2" x14ac:dyDescent="0.25">
      <c r="B331" s="37">
        <v>327</v>
      </c>
    </row>
    <row r="332" spans="2:2" x14ac:dyDescent="0.25">
      <c r="B332" s="37">
        <v>328</v>
      </c>
    </row>
    <row r="333" spans="2:2" x14ac:dyDescent="0.25">
      <c r="B333" s="37">
        <v>329</v>
      </c>
    </row>
    <row r="334" spans="2:2" x14ac:dyDescent="0.25">
      <c r="B334" s="37">
        <v>330</v>
      </c>
    </row>
    <row r="335" spans="2:2" x14ac:dyDescent="0.25">
      <c r="B335" s="37">
        <v>331</v>
      </c>
    </row>
    <row r="336" spans="2:2" x14ac:dyDescent="0.25">
      <c r="B336" s="37">
        <v>332</v>
      </c>
    </row>
    <row r="337" spans="2:2" x14ac:dyDescent="0.25">
      <c r="B337" s="37">
        <v>333</v>
      </c>
    </row>
    <row r="338" spans="2:2" x14ac:dyDescent="0.25">
      <c r="B338" s="37">
        <v>334</v>
      </c>
    </row>
    <row r="339" spans="2:2" x14ac:dyDescent="0.25">
      <c r="B339" s="37">
        <v>335</v>
      </c>
    </row>
    <row r="340" spans="2:2" x14ac:dyDescent="0.25">
      <c r="B340" s="37">
        <v>336</v>
      </c>
    </row>
    <row r="341" spans="2:2" x14ac:dyDescent="0.25">
      <c r="B341" s="37">
        <v>337</v>
      </c>
    </row>
    <row r="342" spans="2:2" x14ac:dyDescent="0.25">
      <c r="B342" s="37">
        <v>338</v>
      </c>
    </row>
    <row r="343" spans="2:2" x14ac:dyDescent="0.25">
      <c r="B343" s="37">
        <v>339</v>
      </c>
    </row>
    <row r="344" spans="2:2" x14ac:dyDescent="0.25">
      <c r="B344" s="37">
        <v>340</v>
      </c>
    </row>
    <row r="345" spans="2:2" x14ac:dyDescent="0.25">
      <c r="B345" s="37">
        <v>341</v>
      </c>
    </row>
    <row r="346" spans="2:2" x14ac:dyDescent="0.25">
      <c r="B346" s="37">
        <v>342</v>
      </c>
    </row>
    <row r="347" spans="2:2" x14ac:dyDescent="0.25">
      <c r="B347" s="37">
        <v>343</v>
      </c>
    </row>
    <row r="348" spans="2:2" x14ac:dyDescent="0.25">
      <c r="B348" s="37">
        <v>344</v>
      </c>
    </row>
    <row r="349" spans="2:2" x14ac:dyDescent="0.25">
      <c r="B349" s="37">
        <v>345</v>
      </c>
    </row>
    <row r="350" spans="2:2" x14ac:dyDescent="0.25">
      <c r="B350" s="37">
        <v>346</v>
      </c>
    </row>
    <row r="351" spans="2:2" x14ac:dyDescent="0.25">
      <c r="B351" s="37">
        <v>347</v>
      </c>
    </row>
    <row r="352" spans="2:2" x14ac:dyDescent="0.25">
      <c r="B352" s="37">
        <v>348</v>
      </c>
    </row>
    <row r="353" spans="2:2" x14ac:dyDescent="0.25">
      <c r="B353" s="37">
        <v>349</v>
      </c>
    </row>
    <row r="354" spans="2:2" x14ac:dyDescent="0.25">
      <c r="B354" s="37">
        <v>350</v>
      </c>
    </row>
  </sheetData>
  <mergeCells count="2">
    <mergeCell ref="R25:T25"/>
    <mergeCell ref="R34:T34"/>
  </mergeCells>
  <conditionalFormatting sqref="E8:E198">
    <cfRule type="cellIs" dxfId="1" priority="1" operator="greaterThan">
      <formula>K8</formula>
    </cfRule>
  </conditionalFormatting>
  <pageMargins left="0.7" right="0.7" top="0.75" bottom="0.75" header="0.3" footer="0.3"/>
  <pageSetup paperSize="9" orientation="portrait" r:id="rId1"/>
  <drawing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323C16-BFCA-4598-AB54-D8F589F12BAE}">
  <sheetPr codeName="Sheet10">
    <tabColor theme="6" tint="0.39997558519241921"/>
  </sheetPr>
  <dimension ref="A1:AF354"/>
  <sheetViews>
    <sheetView zoomScale="70" zoomScaleNormal="70" workbookViewId="0">
      <selection activeCell="P24" sqref="P24"/>
    </sheetView>
  </sheetViews>
  <sheetFormatPr defaultColWidth="9.140625" defaultRowHeight="15" x14ac:dyDescent="0.25"/>
  <cols>
    <col min="1" max="1" width="3.28515625" style="10" customWidth="1"/>
    <col min="2" max="2" width="12.85546875" style="10" customWidth="1"/>
    <col min="3" max="3" width="2.85546875" style="10" customWidth="1"/>
    <col min="4" max="8" width="18.5703125" style="10" customWidth="1"/>
    <col min="9" max="9" width="4.42578125" style="10" customWidth="1"/>
    <col min="10" max="14" width="18.5703125" style="10" customWidth="1"/>
    <col min="15" max="15" width="4.140625" style="10" customWidth="1"/>
    <col min="16" max="16" width="20.140625" style="10" customWidth="1"/>
    <col min="17" max="17" width="33.7109375" style="10" customWidth="1"/>
    <col min="18" max="18" width="17.85546875" style="10" bestFit="1" customWidth="1"/>
    <col min="19" max="21" width="20.140625" style="10" bestFit="1" customWidth="1"/>
    <col min="22" max="29" width="21.7109375" style="10" bestFit="1" customWidth="1"/>
    <col min="30" max="16384" width="9.140625" style="10"/>
  </cols>
  <sheetData>
    <row r="1" spans="1:29" x14ac:dyDescent="0.25">
      <c r="A1"/>
      <c r="B1"/>
      <c r="C1"/>
      <c r="D1"/>
      <c r="E1"/>
      <c r="F1"/>
    </row>
    <row r="2" spans="1:29" x14ac:dyDescent="0.25">
      <c r="A2"/>
      <c r="B2"/>
      <c r="C2"/>
      <c r="D2"/>
      <c r="E2"/>
      <c r="F2"/>
    </row>
    <row r="3" spans="1:29" x14ac:dyDescent="0.25">
      <c r="A3"/>
      <c r="B3"/>
      <c r="C3"/>
      <c r="D3"/>
      <c r="E3"/>
      <c r="F3"/>
    </row>
    <row r="4" spans="1:29" ht="15.75" thickBot="1" x14ac:dyDescent="0.3">
      <c r="A4"/>
      <c r="B4"/>
      <c r="C4"/>
      <c r="D4"/>
      <c r="E4"/>
      <c r="F4"/>
    </row>
    <row r="5" spans="1:29" ht="30.75" customHeight="1" thickBot="1" x14ac:dyDescent="0.3">
      <c r="B5" s="3" t="s">
        <v>41</v>
      </c>
      <c r="D5" s="3" t="s">
        <v>6</v>
      </c>
      <c r="E5" s="4"/>
      <c r="F5" s="4"/>
      <c r="G5" s="4"/>
      <c r="H5" s="4"/>
      <c r="J5" s="3" t="s">
        <v>45</v>
      </c>
      <c r="K5" s="4"/>
      <c r="L5" s="4"/>
      <c r="M5" s="4"/>
      <c r="N5" s="4"/>
      <c r="P5" s="3" t="s">
        <v>41</v>
      </c>
      <c r="Q5" s="3" t="s">
        <v>41</v>
      </c>
      <c r="R5" s="44" t="s">
        <v>36</v>
      </c>
      <c r="S5" s="45"/>
      <c r="T5" s="45"/>
      <c r="U5" s="45"/>
      <c r="V5" s="45"/>
      <c r="W5" s="45"/>
      <c r="X5" s="45"/>
      <c r="Y5" s="45"/>
      <c r="Z5" s="45"/>
      <c r="AA5" s="45"/>
      <c r="AB5" s="45"/>
      <c r="AC5" s="45"/>
    </row>
    <row r="6" spans="1:29" ht="45.75" thickBot="1" x14ac:dyDescent="0.3">
      <c r="B6" s="1" t="s">
        <v>4</v>
      </c>
      <c r="D6" s="1" t="s">
        <v>31</v>
      </c>
      <c r="E6" s="1" t="s">
        <v>32</v>
      </c>
      <c r="F6" s="1" t="s">
        <v>33</v>
      </c>
      <c r="G6" s="1" t="s">
        <v>34</v>
      </c>
      <c r="H6" s="1" t="s">
        <v>0</v>
      </c>
      <c r="J6" s="1" t="s">
        <v>31</v>
      </c>
      <c r="K6" s="1" t="s">
        <v>32</v>
      </c>
      <c r="L6" s="1" t="s">
        <v>33</v>
      </c>
      <c r="M6" s="1" t="s">
        <v>34</v>
      </c>
      <c r="N6" s="1" t="s">
        <v>0</v>
      </c>
      <c r="P6" s="1" t="s">
        <v>40</v>
      </c>
      <c r="Q6" s="1" t="s">
        <v>35</v>
      </c>
      <c r="R6" s="38">
        <v>1</v>
      </c>
      <c r="S6" s="38">
        <v>3</v>
      </c>
      <c r="T6" s="38">
        <v>5</v>
      </c>
      <c r="U6" s="38">
        <v>8</v>
      </c>
      <c r="V6" s="38">
        <v>10</v>
      </c>
      <c r="W6" s="38">
        <v>13</v>
      </c>
      <c r="X6" s="38">
        <v>16</v>
      </c>
      <c r="Y6" s="38">
        <v>20</v>
      </c>
      <c r="Z6" s="38">
        <v>25</v>
      </c>
      <c r="AA6" s="38">
        <v>30</v>
      </c>
      <c r="AB6" s="38">
        <v>35</v>
      </c>
      <c r="AC6" s="38">
        <v>40</v>
      </c>
    </row>
    <row r="7" spans="1:29" x14ac:dyDescent="0.25">
      <c r="B7" s="17"/>
      <c r="D7" s="18" t="s">
        <v>1</v>
      </c>
      <c r="E7" s="18" t="s">
        <v>1</v>
      </c>
      <c r="F7" s="18" t="s">
        <v>2</v>
      </c>
      <c r="G7" s="18" t="s">
        <v>2</v>
      </c>
      <c r="H7" s="18" t="s">
        <v>3</v>
      </c>
      <c r="J7" s="18" t="s">
        <v>1</v>
      </c>
      <c r="K7" s="18" t="s">
        <v>1</v>
      </c>
      <c r="L7" s="18" t="s">
        <v>2</v>
      </c>
      <c r="M7" s="18" t="s">
        <v>2</v>
      </c>
      <c r="N7" s="18" t="s">
        <v>3</v>
      </c>
      <c r="P7" s="42">
        <v>1</v>
      </c>
      <c r="Q7" s="39">
        <v>75</v>
      </c>
      <c r="R7" s="39"/>
      <c r="S7" s="39"/>
      <c r="T7" s="39">
        <v>65</v>
      </c>
      <c r="U7" s="39">
        <v>25</v>
      </c>
      <c r="V7" s="26">
        <v>18</v>
      </c>
      <c r="W7" s="26">
        <v>12</v>
      </c>
      <c r="X7" s="26">
        <v>10</v>
      </c>
      <c r="Y7" s="26">
        <v>7</v>
      </c>
      <c r="Z7" s="26">
        <v>6</v>
      </c>
      <c r="AA7" s="26">
        <v>5</v>
      </c>
      <c r="AB7" s="26">
        <v>4</v>
      </c>
      <c r="AC7" s="26">
        <v>4</v>
      </c>
    </row>
    <row r="8" spans="1:29" x14ac:dyDescent="0.25">
      <c r="B8" s="37">
        <v>4</v>
      </c>
      <c r="C8" s="24"/>
      <c r="D8" s="9">
        <v>2.914709217808007</v>
      </c>
      <c r="E8" s="9">
        <v>3.2233152459785779</v>
      </c>
      <c r="F8" s="9">
        <v>185.44553158315932</v>
      </c>
      <c r="G8" s="9">
        <v>205.080289175513</v>
      </c>
      <c r="H8" s="9">
        <v>1467.8506022660195</v>
      </c>
      <c r="I8" s="24"/>
      <c r="J8" s="9">
        <v>2.686976579014476</v>
      </c>
      <c r="K8" s="9">
        <v>2.8578546051187956</v>
      </c>
      <c r="L8" s="22">
        <v>170.95626452287181</v>
      </c>
      <c r="M8" s="22">
        <v>181.8282122949476</v>
      </c>
      <c r="N8" s="22">
        <v>612.91413316992509</v>
      </c>
      <c r="O8" s="21"/>
      <c r="P8" s="42">
        <v>2</v>
      </c>
      <c r="Q8" s="39">
        <v>50</v>
      </c>
      <c r="R8" s="39"/>
      <c r="S8" s="39"/>
      <c r="T8" s="39">
        <v>109</v>
      </c>
      <c r="U8" s="39">
        <v>29</v>
      </c>
      <c r="V8" s="26">
        <v>20</v>
      </c>
      <c r="W8" s="26">
        <v>13</v>
      </c>
      <c r="X8" s="26">
        <v>10</v>
      </c>
      <c r="Y8" s="26">
        <v>8</v>
      </c>
      <c r="Z8" s="26">
        <v>6</v>
      </c>
      <c r="AA8" s="26">
        <v>5</v>
      </c>
      <c r="AB8" s="26">
        <v>4</v>
      </c>
      <c r="AC8" s="26">
        <v>4</v>
      </c>
    </row>
    <row r="9" spans="1:29" x14ac:dyDescent="0.25">
      <c r="B9" s="37">
        <v>5</v>
      </c>
      <c r="C9" s="24"/>
      <c r="D9" s="9">
        <v>3.4199208779938783</v>
      </c>
      <c r="E9" s="9">
        <v>3.8056767035104966</v>
      </c>
      <c r="F9" s="9">
        <v>174.07130462746431</v>
      </c>
      <c r="G9" s="9">
        <v>193.70597519759508</v>
      </c>
      <c r="H9" s="9">
        <v>1834.805120848861</v>
      </c>
      <c r="I9" s="24"/>
      <c r="J9" s="9">
        <v>3.3613873970641746</v>
      </c>
      <c r="K9" s="9">
        <v>3.5749864076627338</v>
      </c>
      <c r="L9" s="22">
        <v>171.09199611322839</v>
      </c>
      <c r="M9" s="22">
        <v>181.96401911273045</v>
      </c>
      <c r="N9" s="22">
        <v>766.14794718636028</v>
      </c>
      <c r="O9" s="21"/>
      <c r="P9" s="42">
        <v>3</v>
      </c>
      <c r="Q9" s="39">
        <v>35</v>
      </c>
      <c r="R9" s="39"/>
      <c r="S9" s="39"/>
      <c r="T9" s="39">
        <v>481</v>
      </c>
      <c r="U9" s="39">
        <v>36</v>
      </c>
      <c r="V9" s="26">
        <v>22</v>
      </c>
      <c r="W9" s="26">
        <v>15</v>
      </c>
      <c r="X9" s="26">
        <v>11</v>
      </c>
      <c r="Y9" s="26">
        <v>8</v>
      </c>
      <c r="Z9" s="26">
        <v>6</v>
      </c>
      <c r="AA9" s="26">
        <v>5</v>
      </c>
      <c r="AB9" s="26">
        <v>4</v>
      </c>
      <c r="AC9" s="26">
        <v>4</v>
      </c>
    </row>
    <row r="10" spans="1:29" x14ac:dyDescent="0.25">
      <c r="B10" s="37">
        <v>6</v>
      </c>
      <c r="C10" s="24"/>
      <c r="D10" s="9">
        <v>3.9254764624463698</v>
      </c>
      <c r="E10" s="9">
        <v>4.3885097426549446</v>
      </c>
      <c r="F10" s="9">
        <v>166.5030745543821</v>
      </c>
      <c r="G10" s="9">
        <v>186.14310182579302</v>
      </c>
      <c r="H10" s="9">
        <v>2202.3668275452892</v>
      </c>
      <c r="I10" s="24"/>
      <c r="J10" s="9">
        <v>4.031019446867024</v>
      </c>
      <c r="K10" s="9">
        <v>4.2873393926942178</v>
      </c>
      <c r="L10" s="22">
        <v>170.97978752713865</v>
      </c>
      <c r="M10" s="22">
        <v>181.85185858860754</v>
      </c>
      <c r="N10" s="22">
        <v>919.38158517866179</v>
      </c>
      <c r="O10" s="21"/>
      <c r="P10" s="43"/>
      <c r="Q10" s="39">
        <v>25</v>
      </c>
      <c r="R10" s="39"/>
      <c r="S10" s="39"/>
      <c r="T10" s="39"/>
      <c r="U10" s="39">
        <v>48</v>
      </c>
      <c r="V10" s="26">
        <v>27</v>
      </c>
      <c r="W10" s="26">
        <v>16</v>
      </c>
      <c r="X10" s="26">
        <v>12</v>
      </c>
      <c r="Y10" s="26">
        <v>9</v>
      </c>
      <c r="Z10" s="26">
        <v>6</v>
      </c>
      <c r="AA10" s="26">
        <v>5</v>
      </c>
      <c r="AB10" s="26">
        <v>4</v>
      </c>
      <c r="AC10" s="26">
        <v>4</v>
      </c>
    </row>
    <row r="11" spans="1:29" ht="15.75" thickBot="1" x14ac:dyDescent="0.3">
      <c r="B11" s="37">
        <v>7</v>
      </c>
      <c r="C11" s="21"/>
      <c r="D11" s="9">
        <v>4.431390932224021</v>
      </c>
      <c r="E11" s="9">
        <v>4.9718247652795542</v>
      </c>
      <c r="F11" s="9">
        <v>161.11024377579835</v>
      </c>
      <c r="G11" s="9">
        <v>180.75857269101951</v>
      </c>
      <c r="H11" s="9">
        <v>2570.5140370655386</v>
      </c>
      <c r="I11" s="24"/>
      <c r="J11" s="9">
        <v>4.6906618553854864</v>
      </c>
      <c r="K11" s="9">
        <v>4.9897003224266516</v>
      </c>
      <c r="L11" s="22">
        <v>170.53644928855726</v>
      </c>
      <c r="M11" s="22">
        <v>181.40846691467169</v>
      </c>
      <c r="N11" s="22">
        <v>1072.6065979885068</v>
      </c>
      <c r="O11" s="21"/>
      <c r="P11" s="43"/>
      <c r="Q11" s="39">
        <v>10</v>
      </c>
      <c r="R11" s="39"/>
      <c r="S11" s="39"/>
      <c r="T11" s="39"/>
      <c r="U11" s="39"/>
      <c r="V11" s="26">
        <v>100</v>
      </c>
      <c r="W11" s="26">
        <v>28</v>
      </c>
      <c r="X11" s="26">
        <v>17</v>
      </c>
      <c r="Y11" s="26">
        <v>11</v>
      </c>
      <c r="Z11" s="26">
        <v>8</v>
      </c>
      <c r="AA11" s="26">
        <v>6</v>
      </c>
      <c r="AB11" s="26">
        <v>5</v>
      </c>
      <c r="AC11" s="26">
        <v>4</v>
      </c>
    </row>
    <row r="12" spans="1:29" ht="15.75" thickBot="1" x14ac:dyDescent="0.3">
      <c r="B12" s="37">
        <v>8</v>
      </c>
      <c r="C12" s="21"/>
      <c r="D12" s="9">
        <v>4.4962230255331637</v>
      </c>
      <c r="E12" s="9">
        <v>5.038055390405118</v>
      </c>
      <c r="F12" s="9">
        <v>163.46731732613148</v>
      </c>
      <c r="G12" s="9">
        <v>183.16649208305739</v>
      </c>
      <c r="H12" s="9">
        <v>2577.1659997027955</v>
      </c>
      <c r="I12" s="24"/>
      <c r="J12" s="9">
        <v>4.7695454936717683</v>
      </c>
      <c r="K12" s="9">
        <v>5.0685932719123494</v>
      </c>
      <c r="L12" s="22">
        <v>173.40438903673166</v>
      </c>
      <c r="M12" s="22">
        <v>184.27674518626472</v>
      </c>
      <c r="N12" s="22">
        <v>1072.6398665494157</v>
      </c>
      <c r="O12" s="21"/>
      <c r="P12" s="21"/>
      <c r="Q12" s="7" t="s">
        <v>27</v>
      </c>
      <c r="R12" s="41"/>
      <c r="S12" s="41"/>
      <c r="T12" s="41"/>
      <c r="U12" s="41"/>
    </row>
    <row r="13" spans="1:29" x14ac:dyDescent="0.25">
      <c r="B13" s="37">
        <v>9</v>
      </c>
      <c r="C13" s="21"/>
      <c r="D13" s="9">
        <v>4.4519246334819798</v>
      </c>
      <c r="E13" s="9">
        <v>4.9764485228285551</v>
      </c>
      <c r="F13" s="9">
        <v>167.85147456349171</v>
      </c>
      <c r="G13" s="9">
        <v>187.62766475513476</v>
      </c>
      <c r="H13" s="9">
        <v>2494.8401411483114</v>
      </c>
      <c r="I13" s="24"/>
      <c r="J13" s="9">
        <v>4.6774402307442173</v>
      </c>
      <c r="K13" s="9">
        <v>4.9658173203886733</v>
      </c>
      <c r="L13" s="22">
        <v>176.35411749972829</v>
      </c>
      <c r="M13" s="22">
        <v>187.2268351920068</v>
      </c>
      <c r="N13" s="22">
        <v>1034.3655617268753</v>
      </c>
      <c r="O13" s="21"/>
      <c r="P13" s="21"/>
      <c r="Q13" s="39">
        <v>75</v>
      </c>
      <c r="R13" s="40"/>
      <c r="S13" s="40"/>
      <c r="T13" s="40"/>
      <c r="U13" s="40"/>
      <c r="V13" s="26"/>
      <c r="W13" s="26"/>
      <c r="X13" s="26"/>
      <c r="Y13" s="26"/>
      <c r="Z13" s="26"/>
      <c r="AA13" s="26"/>
      <c r="AB13" s="26"/>
      <c r="AC13" s="26"/>
    </row>
    <row r="14" spans="1:29" x14ac:dyDescent="0.25">
      <c r="B14" s="37">
        <v>10</v>
      </c>
      <c r="C14" s="21"/>
      <c r="D14" s="9">
        <v>4.8477570435836617</v>
      </c>
      <c r="E14" s="9">
        <v>5.4307419596981843</v>
      </c>
      <c r="F14" s="9">
        <v>164.49803434996269</v>
      </c>
      <c r="G14" s="9">
        <v>184.28035262506006</v>
      </c>
      <c r="H14" s="9">
        <v>2772.9035796985008</v>
      </c>
      <c r="I14" s="24"/>
      <c r="J14" s="9">
        <v>5.198371564290647</v>
      </c>
      <c r="K14" s="9">
        <v>5.5187921511796878</v>
      </c>
      <c r="L14" s="22">
        <v>176.39537139724538</v>
      </c>
      <c r="M14" s="22">
        <v>187.26814332756976</v>
      </c>
      <c r="N14" s="22">
        <v>1149.3007795905817</v>
      </c>
      <c r="O14" s="21"/>
      <c r="P14" s="21"/>
      <c r="Q14" s="39">
        <v>50</v>
      </c>
      <c r="R14" s="39"/>
      <c r="S14" s="39"/>
      <c r="T14" s="39"/>
      <c r="U14" s="39"/>
      <c r="V14" s="26"/>
      <c r="W14" s="26"/>
      <c r="X14" s="26"/>
      <c r="Y14" s="26"/>
      <c r="Z14" s="26"/>
      <c r="AA14" s="26"/>
      <c r="AB14" s="26"/>
      <c r="AC14" s="26"/>
    </row>
    <row r="15" spans="1:29" x14ac:dyDescent="0.25">
      <c r="B15" s="37">
        <v>11</v>
      </c>
      <c r="C15" s="21"/>
      <c r="D15" s="9">
        <v>4.637425776096781</v>
      </c>
      <c r="E15" s="9">
        <v>5.1744302041903403</v>
      </c>
      <c r="F15" s="9">
        <v>171.66643934580796</v>
      </c>
      <c r="G15" s="9">
        <v>191.54506221432183</v>
      </c>
      <c r="H15" s="9">
        <v>2554.2024498658725</v>
      </c>
      <c r="I15" s="24"/>
      <c r="J15" s="9">
        <v>4.8996360893435673</v>
      </c>
      <c r="K15" s="9">
        <v>5.1933699538244156</v>
      </c>
      <c r="L15" s="22">
        <v>181.37283962219382</v>
      </c>
      <c r="M15" s="22">
        <v>192.24616656375241</v>
      </c>
      <c r="N15" s="22">
        <v>1053.5792846354752</v>
      </c>
      <c r="O15" s="21"/>
      <c r="P15" s="21"/>
      <c r="Q15" s="39">
        <v>35</v>
      </c>
      <c r="R15" s="39"/>
      <c r="S15" s="39"/>
      <c r="T15" s="39"/>
      <c r="U15" s="39"/>
      <c r="V15" s="26"/>
      <c r="W15" s="26"/>
      <c r="X15" s="26"/>
      <c r="Y15" s="26"/>
      <c r="Z15" s="26"/>
      <c r="AA15" s="26"/>
      <c r="AB15" s="26"/>
      <c r="AC15" s="26"/>
    </row>
    <row r="16" spans="1:29" x14ac:dyDescent="0.25">
      <c r="B16" s="37">
        <v>12</v>
      </c>
      <c r="C16" s="21"/>
      <c r="D16" s="9">
        <v>4.3168938957922354</v>
      </c>
      <c r="E16" s="9">
        <v>4.7889475352470763</v>
      </c>
      <c r="F16" s="9">
        <v>183.10544288081348</v>
      </c>
      <c r="G16" s="9">
        <v>203.12807785920131</v>
      </c>
      <c r="H16" s="9">
        <v>2245.2711733572323</v>
      </c>
      <c r="I16" s="24"/>
      <c r="J16" s="9">
        <v>4.4320661056147053</v>
      </c>
      <c r="K16" s="9">
        <v>4.6884323611109311</v>
      </c>
      <c r="L16" s="22">
        <v>187.99058923747072</v>
      </c>
      <c r="M16" s="22">
        <v>198.8646245706272</v>
      </c>
      <c r="N16" s="22">
        <v>919.54704786254717</v>
      </c>
      <c r="O16" s="21"/>
      <c r="P16" s="21"/>
      <c r="Q16" s="39">
        <v>25</v>
      </c>
      <c r="R16" s="39"/>
      <c r="S16" s="39"/>
      <c r="T16" s="39"/>
      <c r="U16" s="39"/>
      <c r="V16" s="26"/>
      <c r="W16" s="26"/>
      <c r="X16" s="26"/>
      <c r="Y16" s="26"/>
      <c r="Z16" s="26"/>
      <c r="AA16" s="26"/>
      <c r="AB16" s="26"/>
      <c r="AC16" s="26"/>
    </row>
    <row r="17" spans="2:29" ht="15.75" thickBot="1" x14ac:dyDescent="0.3">
      <c r="B17" s="37">
        <v>13</v>
      </c>
      <c r="C17" s="21"/>
      <c r="D17" s="9">
        <v>4.6021651654352391</v>
      </c>
      <c r="E17" s="9">
        <v>5.1135887124807509</v>
      </c>
      <c r="F17" s="9">
        <v>180.18970502037988</v>
      </c>
      <c r="G17" s="9">
        <v>200.21359698643278</v>
      </c>
      <c r="H17" s="9">
        <v>2432.5298050524743</v>
      </c>
      <c r="I17" s="24"/>
      <c r="J17" s="9">
        <v>4.8044353214638935</v>
      </c>
      <c r="K17" s="9">
        <v>5.0821678332830693</v>
      </c>
      <c r="L17" s="22">
        <v>188.10923820510044</v>
      </c>
      <c r="M17" s="22">
        <v>198.98336757253998</v>
      </c>
      <c r="N17" s="22">
        <v>996.18454969418428</v>
      </c>
      <c r="O17" s="21"/>
      <c r="P17" s="21"/>
      <c r="Q17" s="39">
        <v>10</v>
      </c>
      <c r="R17" s="39"/>
      <c r="S17" s="39"/>
      <c r="T17" s="39"/>
      <c r="U17" s="39"/>
      <c r="V17" s="26"/>
      <c r="W17" s="26"/>
      <c r="X17" s="26"/>
      <c r="Y17" s="26"/>
      <c r="Z17" s="26"/>
      <c r="AA17" s="26"/>
      <c r="AB17" s="26"/>
      <c r="AC17" s="26"/>
    </row>
    <row r="18" spans="2:29" ht="15.75" thickBot="1" x14ac:dyDescent="0.3">
      <c r="B18" s="37">
        <v>14</v>
      </c>
      <c r="C18" s="21"/>
      <c r="D18" s="9">
        <v>4.8876388100151198</v>
      </c>
      <c r="E18" s="9">
        <v>5.438491534133334</v>
      </c>
      <c r="F18" s="9">
        <v>177.69785880172506</v>
      </c>
      <c r="G18" s="9">
        <v>197.72498302177382</v>
      </c>
      <c r="H18" s="9">
        <v>2620.0703455147345</v>
      </c>
      <c r="I18" s="24"/>
      <c r="J18" s="9">
        <v>5.1722026587822558</v>
      </c>
      <c r="K18" s="9">
        <v>5.471299209972134</v>
      </c>
      <c r="L18" s="22">
        <v>188.04362872946274</v>
      </c>
      <c r="M18" s="22">
        <v>198.91775809690213</v>
      </c>
      <c r="N18" s="22">
        <v>1072.8141304398912</v>
      </c>
      <c r="O18" s="21"/>
      <c r="P18" s="21"/>
      <c r="Q18" s="7" t="s">
        <v>30</v>
      </c>
      <c r="R18" s="41"/>
      <c r="S18" s="41"/>
      <c r="T18" s="41"/>
      <c r="U18" s="41"/>
    </row>
    <row r="19" spans="2:29" x14ac:dyDescent="0.25">
      <c r="B19" s="37">
        <v>15</v>
      </c>
      <c r="C19" s="21"/>
      <c r="D19" s="9">
        <v>4.5123083937286346</v>
      </c>
      <c r="E19" s="9">
        <v>4.9887958463585989</v>
      </c>
      <c r="F19" s="9">
        <v>191.39414745723428</v>
      </c>
      <c r="G19" s="9">
        <v>211.60484712858877</v>
      </c>
      <c r="H19" s="9">
        <v>2266.3601176595394</v>
      </c>
      <c r="I19" s="24"/>
      <c r="J19" s="9">
        <v>4.6469688211201579</v>
      </c>
      <c r="K19" s="9">
        <v>4.9033607439967763</v>
      </c>
      <c r="L19" s="22">
        <v>197.10590637261515</v>
      </c>
      <c r="M19" s="22">
        <v>207.98103041380287</v>
      </c>
      <c r="N19" s="22">
        <v>919.63875643521146</v>
      </c>
      <c r="O19" s="21"/>
      <c r="P19" s="21"/>
      <c r="Q19" s="39">
        <v>75</v>
      </c>
      <c r="R19" s="40"/>
      <c r="S19" s="40"/>
      <c r="T19" s="40"/>
      <c r="U19" s="40"/>
      <c r="V19" s="26"/>
      <c r="W19" s="26"/>
      <c r="X19" s="26"/>
      <c r="Y19" s="26"/>
      <c r="Z19" s="26"/>
      <c r="AA19" s="26"/>
      <c r="AB19" s="26"/>
      <c r="AC19" s="26"/>
    </row>
    <row r="20" spans="2:29" x14ac:dyDescent="0.25">
      <c r="B20" s="37">
        <v>16</v>
      </c>
      <c r="C20" s="21"/>
      <c r="D20" s="9">
        <v>4.7543611821698688</v>
      </c>
      <c r="E20" s="9">
        <v>5.2628494912673798</v>
      </c>
      <c r="F20" s="9">
        <v>189.05724612661547</v>
      </c>
      <c r="G20" s="9">
        <v>209.27729162212401</v>
      </c>
      <c r="H20" s="9">
        <v>2418.5686688578726</v>
      </c>
      <c r="I20" s="24"/>
      <c r="J20" s="9">
        <v>4.9564907483061011</v>
      </c>
      <c r="K20" s="9">
        <v>5.2299767502312768</v>
      </c>
      <c r="L20" s="22">
        <v>197.09493145809526</v>
      </c>
      <c r="M20" s="22">
        <v>207.97010656512285</v>
      </c>
      <c r="N20" s="22">
        <v>980.95259522659319</v>
      </c>
      <c r="O20" s="21"/>
      <c r="P20" s="21"/>
      <c r="Q20" s="39">
        <v>50</v>
      </c>
      <c r="R20" s="39"/>
      <c r="S20" s="39"/>
      <c r="T20" s="39"/>
      <c r="U20" s="39"/>
      <c r="V20" s="26"/>
      <c r="W20" s="26"/>
      <c r="X20" s="26"/>
      <c r="Y20" s="26"/>
      <c r="Z20" s="26"/>
      <c r="AA20" s="26"/>
      <c r="AB20" s="26"/>
      <c r="AC20" s="26"/>
    </row>
    <row r="21" spans="2:29" x14ac:dyDescent="0.25">
      <c r="B21" s="37">
        <v>17</v>
      </c>
      <c r="C21" s="21"/>
      <c r="D21" s="9">
        <v>4.9954443350514479</v>
      </c>
      <c r="E21" s="9">
        <v>5.5356861645087916</v>
      </c>
      <c r="F21" s="9">
        <v>186.95898488377375</v>
      </c>
      <c r="G21" s="9">
        <v>207.17801991903403</v>
      </c>
      <c r="H21" s="9">
        <v>2569.6007930861269</v>
      </c>
      <c r="I21" s="24"/>
      <c r="J21" s="9">
        <v>5.262276439666639</v>
      </c>
      <c r="K21" s="9">
        <v>5.5528545007505468</v>
      </c>
      <c r="L21" s="22">
        <v>196.94541573302135</v>
      </c>
      <c r="M21" s="22">
        <v>207.82056030195449</v>
      </c>
      <c r="N21" s="22">
        <v>1042.2592170285734</v>
      </c>
      <c r="O21" s="21"/>
      <c r="P21" s="21"/>
      <c r="Q21" s="39">
        <v>35</v>
      </c>
      <c r="R21" s="39"/>
      <c r="S21" s="39"/>
      <c r="T21" s="39"/>
      <c r="U21" s="39"/>
      <c r="V21" s="26"/>
      <c r="W21" s="26"/>
      <c r="X21" s="26"/>
      <c r="Y21" s="26"/>
      <c r="Z21" s="26"/>
      <c r="AA21" s="26"/>
      <c r="AB21" s="26"/>
      <c r="AC21" s="26"/>
    </row>
    <row r="22" spans="2:29" x14ac:dyDescent="0.25">
      <c r="B22" s="37">
        <v>18</v>
      </c>
      <c r="C22" s="21"/>
      <c r="D22" s="9">
        <v>4.641927944312509</v>
      </c>
      <c r="E22" s="9">
        <v>5.1115465876286033</v>
      </c>
      <c r="F22" s="9">
        <v>201.94060764981649</v>
      </c>
      <c r="G22" s="9">
        <v>222.37071241073386</v>
      </c>
      <c r="H22" s="9">
        <v>2233.6893822627426</v>
      </c>
      <c r="I22" s="24"/>
      <c r="J22" s="9">
        <v>4.7687482643459065</v>
      </c>
      <c r="K22" s="9">
        <v>5.0187570960352721</v>
      </c>
      <c r="L22" s="22">
        <v>207.45774897495644</v>
      </c>
      <c r="M22" s="22">
        <v>218.33403486195084</v>
      </c>
      <c r="N22" s="22">
        <v>896.74321020617469</v>
      </c>
      <c r="O22" s="21"/>
      <c r="P22" s="21"/>
      <c r="Q22" s="39">
        <v>25</v>
      </c>
      <c r="R22" s="39"/>
      <c r="S22" s="39"/>
      <c r="T22" s="39"/>
      <c r="U22" s="39"/>
      <c r="V22" s="26"/>
      <c r="W22" s="26"/>
      <c r="X22" s="26"/>
      <c r="Y22" s="26"/>
      <c r="Z22" s="26"/>
      <c r="AA22" s="26"/>
      <c r="AB22" s="26"/>
      <c r="AC22" s="26"/>
    </row>
    <row r="23" spans="2:29" x14ac:dyDescent="0.25">
      <c r="B23" s="37">
        <v>19</v>
      </c>
      <c r="C23" s="21"/>
      <c r="D23" s="9">
        <v>4.8503084288416662</v>
      </c>
      <c r="E23" s="9">
        <v>5.3460731634857526</v>
      </c>
      <c r="F23" s="9">
        <v>199.90033606810115</v>
      </c>
      <c r="G23" s="9">
        <v>220.33275568017382</v>
      </c>
      <c r="H23" s="9">
        <v>2358.0503875554905</v>
      </c>
      <c r="I23" s="24"/>
      <c r="J23" s="9">
        <v>5.0278878595385921</v>
      </c>
      <c r="K23" s="9">
        <v>5.2917853564149775</v>
      </c>
      <c r="L23" s="22">
        <v>207.2190846375762</v>
      </c>
      <c r="M23" s="22">
        <v>218.09534108333759</v>
      </c>
      <c r="N23" s="22">
        <v>946.55972508994046</v>
      </c>
      <c r="O23" s="21"/>
      <c r="P23" s="21"/>
      <c r="Q23" s="39">
        <v>10</v>
      </c>
      <c r="R23" s="39"/>
      <c r="S23" s="39"/>
      <c r="T23" s="39"/>
      <c r="U23" s="39"/>
      <c r="V23" s="26"/>
      <c r="W23" s="26"/>
      <c r="X23" s="26"/>
      <c r="Y23" s="26"/>
      <c r="Z23" s="26"/>
      <c r="AA23" s="26"/>
      <c r="AB23" s="26"/>
      <c r="AC23" s="26"/>
    </row>
    <row r="24" spans="2:29" x14ac:dyDescent="0.25">
      <c r="B24" s="37">
        <v>20</v>
      </c>
      <c r="C24" s="21"/>
      <c r="D24" s="9">
        <v>5.0595946941285348</v>
      </c>
      <c r="E24" s="9">
        <v>5.5817437378264723</v>
      </c>
      <c r="F24" s="9">
        <v>198.09955590141868</v>
      </c>
      <c r="G24" s="9">
        <v>218.54338587676179</v>
      </c>
      <c r="H24" s="9">
        <v>2483.5444492387733</v>
      </c>
      <c r="I24" s="24"/>
      <c r="J24" s="9">
        <v>5.2937583915896855</v>
      </c>
      <c r="K24" s="9">
        <v>5.5715480515110709</v>
      </c>
      <c r="L24" s="22">
        <v>207.26782476080365</v>
      </c>
      <c r="M24" s="22">
        <v>218.14419166194946</v>
      </c>
      <c r="N24" s="22">
        <v>996.38873768706333</v>
      </c>
      <c r="O24" s="21"/>
    </row>
    <row r="25" spans="2:29" x14ac:dyDescent="0.25">
      <c r="B25" s="37">
        <v>21</v>
      </c>
      <c r="C25" s="21"/>
      <c r="D25" s="9">
        <v>5.2680841034723862</v>
      </c>
      <c r="E25" s="9">
        <v>5.8164134324302585</v>
      </c>
      <c r="F25" s="9">
        <v>196.44056480128484</v>
      </c>
      <c r="G25" s="9">
        <v>216.88711063501509</v>
      </c>
      <c r="H25" s="9">
        <v>2608.0680942048034</v>
      </c>
      <c r="I25" s="24"/>
      <c r="J25" s="9">
        <v>5.554073242654483</v>
      </c>
      <c r="K25" s="9">
        <v>5.8457518633565249</v>
      </c>
      <c r="L25" s="22">
        <v>207.10475825843446</v>
      </c>
      <c r="M25" s="22">
        <v>217.98110568679121</v>
      </c>
      <c r="N25" s="22">
        <v>1046.2063087156193</v>
      </c>
      <c r="O25" s="21"/>
      <c r="R25" s="52" t="s">
        <v>37</v>
      </c>
      <c r="S25" s="53"/>
      <c r="T25" s="54"/>
      <c r="U25" s="29"/>
    </row>
    <row r="26" spans="2:29" x14ac:dyDescent="0.25">
      <c r="B26" s="37">
        <v>22</v>
      </c>
      <c r="C26" s="21"/>
      <c r="D26" s="9">
        <v>4.7488686132380433</v>
      </c>
      <c r="E26" s="9">
        <v>5.1980053253548988</v>
      </c>
      <c r="F26" s="9">
        <v>219.73973415316675</v>
      </c>
      <c r="G26" s="9">
        <v>240.52219619978266</v>
      </c>
      <c r="H26" s="9">
        <v>2136.2693311231242</v>
      </c>
      <c r="I26" s="24"/>
      <c r="J26" s="9">
        <v>4.8126672594807083</v>
      </c>
      <c r="K26" s="9">
        <v>5.0477584000238993</v>
      </c>
      <c r="L26" s="22">
        <v>222.6918262631938</v>
      </c>
      <c r="M26" s="22">
        <v>233.56996776003797</v>
      </c>
      <c r="N26" s="22">
        <v>843.23519067472523</v>
      </c>
      <c r="O26" s="21"/>
      <c r="Q26" s="39" t="s">
        <v>38</v>
      </c>
      <c r="R26" s="39">
        <f>R6</f>
        <v>1</v>
      </c>
      <c r="S26" s="39">
        <f>S6</f>
        <v>3</v>
      </c>
      <c r="T26" s="39">
        <f>T6</f>
        <v>5</v>
      </c>
      <c r="U26" s="39">
        <f t="shared" ref="U26:AA31" si="0">U6</f>
        <v>8</v>
      </c>
      <c r="V26" s="39">
        <f t="shared" si="0"/>
        <v>10</v>
      </c>
      <c r="W26" s="39">
        <f t="shared" si="0"/>
        <v>13</v>
      </c>
      <c r="X26" s="39">
        <f t="shared" si="0"/>
        <v>16</v>
      </c>
      <c r="Y26" s="39">
        <f t="shared" si="0"/>
        <v>20</v>
      </c>
      <c r="Z26" s="39">
        <f t="shared" si="0"/>
        <v>25</v>
      </c>
      <c r="AA26" s="39">
        <f t="shared" si="0"/>
        <v>30</v>
      </c>
    </row>
    <row r="27" spans="2:29" x14ac:dyDescent="0.25">
      <c r="B27" s="37">
        <v>23</v>
      </c>
      <c r="C27" s="21"/>
      <c r="D27" s="9">
        <v>4.9239971168146193</v>
      </c>
      <c r="E27" s="9">
        <v>5.3935334359043985</v>
      </c>
      <c r="F27" s="9">
        <v>217.93705371605046</v>
      </c>
      <c r="G27" s="9">
        <v>238.71882096072827</v>
      </c>
      <c r="H27" s="9">
        <v>2233.2978161423512</v>
      </c>
      <c r="I27" s="24"/>
      <c r="J27" s="9">
        <v>5.0266226809855503</v>
      </c>
      <c r="K27" s="9">
        <v>5.2723988956816266</v>
      </c>
      <c r="L27" s="22">
        <v>222.47928080529559</v>
      </c>
      <c r="M27" s="22">
        <v>233.35738305304776</v>
      </c>
      <c r="N27" s="22">
        <v>881.5608945437499</v>
      </c>
      <c r="O27" s="21"/>
      <c r="Q27" s="39">
        <v>75</v>
      </c>
      <c r="R27" s="39">
        <f>R7</f>
        <v>0</v>
      </c>
      <c r="S27" s="39">
        <f t="shared" ref="S27:T27" si="1">S7</f>
        <v>0</v>
      </c>
      <c r="T27" s="39">
        <f t="shared" si="1"/>
        <v>65</v>
      </c>
      <c r="U27" s="39">
        <f t="shared" si="0"/>
        <v>25</v>
      </c>
      <c r="V27" s="39">
        <f t="shared" si="0"/>
        <v>18</v>
      </c>
      <c r="W27" s="39">
        <f t="shared" si="0"/>
        <v>12</v>
      </c>
      <c r="X27" s="39">
        <f t="shared" si="0"/>
        <v>10</v>
      </c>
      <c r="Y27" s="39">
        <f t="shared" si="0"/>
        <v>7</v>
      </c>
      <c r="Z27" s="39">
        <f t="shared" si="0"/>
        <v>6</v>
      </c>
      <c r="AA27" s="39">
        <f t="shared" si="0"/>
        <v>5</v>
      </c>
    </row>
    <row r="28" spans="2:29" x14ac:dyDescent="0.25">
      <c r="B28" s="37">
        <v>24</v>
      </c>
      <c r="C28" s="21"/>
      <c r="D28" s="9">
        <v>5.0996799036798874</v>
      </c>
      <c r="E28" s="9">
        <v>5.5897617238522033</v>
      </c>
      <c r="F28" s="9">
        <v>216.30810713783438</v>
      </c>
      <c r="G28" s="9">
        <v>237.09542572770178</v>
      </c>
      <c r="H28" s="9">
        <v>2331.0202304342474</v>
      </c>
      <c r="I28" s="24"/>
      <c r="J28" s="9">
        <v>5.247462793137597</v>
      </c>
      <c r="K28" s="9">
        <v>5.5039269886572706</v>
      </c>
      <c r="L28" s="22">
        <v>222.57646862124631</v>
      </c>
      <c r="M28" s="22">
        <v>233.45465818005715</v>
      </c>
      <c r="N28" s="22">
        <v>919.89698383654911</v>
      </c>
      <c r="O28" s="21"/>
      <c r="Q28" s="39">
        <v>50</v>
      </c>
      <c r="R28" s="39">
        <f t="shared" ref="R28:T31" si="2">R8</f>
        <v>0</v>
      </c>
      <c r="S28" s="39">
        <f t="shared" si="2"/>
        <v>0</v>
      </c>
      <c r="T28" s="39">
        <f t="shared" si="2"/>
        <v>109</v>
      </c>
      <c r="U28" s="39">
        <f t="shared" si="0"/>
        <v>29</v>
      </c>
      <c r="V28" s="39">
        <f t="shared" si="0"/>
        <v>20</v>
      </c>
      <c r="W28" s="39">
        <f t="shared" si="0"/>
        <v>13</v>
      </c>
      <c r="X28" s="39">
        <f t="shared" si="0"/>
        <v>10</v>
      </c>
      <c r="Y28" s="39">
        <f t="shared" si="0"/>
        <v>8</v>
      </c>
      <c r="Z28" s="39">
        <f t="shared" si="0"/>
        <v>6</v>
      </c>
      <c r="AA28" s="39">
        <f t="shared" si="0"/>
        <v>5</v>
      </c>
    </row>
    <row r="29" spans="2:29" x14ac:dyDescent="0.25">
      <c r="B29" s="37">
        <v>25</v>
      </c>
      <c r="C29" s="21"/>
      <c r="D29" s="9">
        <v>5.2746749490868226</v>
      </c>
      <c r="E29" s="9">
        <v>5.7851256016933137</v>
      </c>
      <c r="F29" s="9">
        <v>214.78147188292709</v>
      </c>
      <c r="G29" s="9">
        <v>235.5667038732706</v>
      </c>
      <c r="H29" s="9">
        <v>2427.9023397475203</v>
      </c>
      <c r="I29" s="24"/>
      <c r="J29" s="9">
        <v>5.4693657033742431</v>
      </c>
      <c r="K29" s="9">
        <v>5.7365159583589085</v>
      </c>
      <c r="L29" s="22">
        <v>222.70915788660946</v>
      </c>
      <c r="M29" s="22">
        <v>233.58734953507101</v>
      </c>
      <c r="N29" s="22">
        <v>958.22620818820917</v>
      </c>
      <c r="O29" s="21"/>
      <c r="Q29" s="39">
        <v>35</v>
      </c>
      <c r="R29" s="39">
        <f t="shared" si="2"/>
        <v>0</v>
      </c>
      <c r="S29" s="39">
        <f t="shared" si="2"/>
        <v>0</v>
      </c>
      <c r="T29" s="39">
        <f t="shared" si="2"/>
        <v>481</v>
      </c>
      <c r="U29" s="39">
        <f t="shared" si="0"/>
        <v>36</v>
      </c>
      <c r="V29" s="39">
        <f t="shared" si="0"/>
        <v>22</v>
      </c>
      <c r="W29" s="39">
        <f t="shared" si="0"/>
        <v>15</v>
      </c>
      <c r="X29" s="39">
        <f t="shared" si="0"/>
        <v>11</v>
      </c>
      <c r="Y29" s="39">
        <f t="shared" si="0"/>
        <v>8</v>
      </c>
      <c r="Z29" s="39">
        <f t="shared" si="0"/>
        <v>6</v>
      </c>
      <c r="AA29" s="39">
        <f t="shared" si="0"/>
        <v>5</v>
      </c>
    </row>
    <row r="30" spans="2:29" x14ac:dyDescent="0.25">
      <c r="B30" s="37">
        <v>26</v>
      </c>
      <c r="C30" s="21"/>
      <c r="D30" s="9">
        <v>5.451010890482249</v>
      </c>
      <c r="E30" s="9">
        <v>5.9821802934264516</v>
      </c>
      <c r="F30" s="9">
        <v>213.42477053971265</v>
      </c>
      <c r="G30" s="9">
        <v>234.22177685995749</v>
      </c>
      <c r="H30" s="9">
        <v>2526.4487950507173</v>
      </c>
      <c r="I30" s="24"/>
      <c r="J30" s="9">
        <v>5.6800054087359175</v>
      </c>
      <c r="K30" s="9">
        <v>5.9578417231855756</v>
      </c>
      <c r="L30" s="22">
        <v>222.39064925378318</v>
      </c>
      <c r="M30" s="22">
        <v>233.26884283115314</v>
      </c>
      <c r="N30" s="22">
        <v>996.55543253986923</v>
      </c>
      <c r="O30" s="21"/>
      <c r="Q30" s="39">
        <v>25</v>
      </c>
      <c r="R30" s="39">
        <f t="shared" si="2"/>
        <v>0</v>
      </c>
      <c r="S30" s="39">
        <f t="shared" si="2"/>
        <v>0</v>
      </c>
      <c r="T30" s="39">
        <f t="shared" si="2"/>
        <v>0</v>
      </c>
      <c r="U30" s="39">
        <f t="shared" si="0"/>
        <v>48</v>
      </c>
      <c r="V30" s="39">
        <f t="shared" si="0"/>
        <v>27</v>
      </c>
      <c r="W30" s="39">
        <f t="shared" si="0"/>
        <v>16</v>
      </c>
      <c r="X30" s="39">
        <f t="shared" si="0"/>
        <v>12</v>
      </c>
      <c r="Y30" s="39">
        <f t="shared" si="0"/>
        <v>9</v>
      </c>
      <c r="Z30" s="39">
        <f t="shared" si="0"/>
        <v>6</v>
      </c>
      <c r="AA30" s="39">
        <f t="shared" si="0"/>
        <v>5</v>
      </c>
    </row>
    <row r="31" spans="2:29" x14ac:dyDescent="0.25">
      <c r="B31" s="37">
        <v>27</v>
      </c>
      <c r="C31" s="21"/>
      <c r="D31" s="9">
        <v>5.6255535073786831</v>
      </c>
      <c r="E31" s="9">
        <v>6.1769777629839178</v>
      </c>
      <c r="F31" s="9">
        <v>212.10095165308391</v>
      </c>
      <c r="G31" s="9">
        <v>232.89136973817682</v>
      </c>
      <c r="H31" s="9">
        <v>2622.7887721197148</v>
      </c>
      <c r="I31" s="24"/>
      <c r="J31" s="9">
        <v>5.9069798708815462</v>
      </c>
      <c r="K31" s="9">
        <v>6.1955044617484401</v>
      </c>
      <c r="L31" s="22">
        <v>222.71160524315843</v>
      </c>
      <c r="M31" s="22">
        <v>233.58988419258401</v>
      </c>
      <c r="N31" s="22">
        <v>1034.8925779774604</v>
      </c>
      <c r="O31" s="21"/>
      <c r="Q31" s="39">
        <v>10</v>
      </c>
      <c r="R31" s="39">
        <f t="shared" si="2"/>
        <v>0</v>
      </c>
      <c r="S31" s="39">
        <f t="shared" si="2"/>
        <v>0</v>
      </c>
      <c r="T31" s="39">
        <f t="shared" si="2"/>
        <v>0</v>
      </c>
      <c r="U31" s="39">
        <f t="shared" si="0"/>
        <v>0</v>
      </c>
      <c r="V31" s="39">
        <f t="shared" si="0"/>
        <v>100</v>
      </c>
      <c r="W31" s="39">
        <f t="shared" si="0"/>
        <v>28</v>
      </c>
      <c r="X31" s="39">
        <f t="shared" si="0"/>
        <v>17</v>
      </c>
      <c r="Y31" s="39">
        <f t="shared" si="0"/>
        <v>11</v>
      </c>
      <c r="Z31" s="39">
        <f t="shared" si="0"/>
        <v>8</v>
      </c>
      <c r="AA31" s="39">
        <f t="shared" si="0"/>
        <v>6</v>
      </c>
    </row>
    <row r="32" spans="2:29" x14ac:dyDescent="0.25">
      <c r="B32" s="37">
        <v>28</v>
      </c>
      <c r="C32" s="21"/>
      <c r="D32" s="9">
        <v>5.1836109381129267</v>
      </c>
      <c r="E32" s="9">
        <v>5.6491621361492612</v>
      </c>
      <c r="F32" s="9">
        <v>235.57299351693999</v>
      </c>
      <c r="G32" s="9">
        <v>256.73030849797954</v>
      </c>
      <c r="H32" s="9">
        <v>2214.3430265257171</v>
      </c>
      <c r="I32" s="24"/>
      <c r="J32" s="9">
        <v>5.2819988622836123</v>
      </c>
      <c r="K32" s="9">
        <v>5.5214068640052512</v>
      </c>
      <c r="L32" s="22">
        <v>240.04430475142934</v>
      </c>
      <c r="M32" s="22">
        <v>250.92437663776704</v>
      </c>
      <c r="N32" s="22">
        <v>858.71850760251505</v>
      </c>
      <c r="O32" s="21"/>
      <c r="U32" s="29"/>
    </row>
    <row r="33" spans="2:21" x14ac:dyDescent="0.25">
      <c r="B33" s="37">
        <v>29</v>
      </c>
      <c r="C33" s="21"/>
      <c r="D33" s="9">
        <v>5.3370336135012142</v>
      </c>
      <c r="E33" s="9">
        <v>5.8192765270954157</v>
      </c>
      <c r="F33" s="9">
        <v>234.18176484744478</v>
      </c>
      <c r="G33" s="9">
        <v>255.34192698413733</v>
      </c>
      <c r="H33" s="9">
        <v>2293.7353341864118</v>
      </c>
      <c r="I33" s="24"/>
      <c r="J33" s="9">
        <v>5.4737633292017476</v>
      </c>
      <c r="K33" s="9">
        <v>5.7217242084218976</v>
      </c>
      <c r="L33" s="22">
        <v>240.18127851901684</v>
      </c>
      <c r="M33" s="22">
        <v>251.06146412661786</v>
      </c>
      <c r="N33" s="22">
        <v>889.39628585782248</v>
      </c>
      <c r="O33" s="21"/>
      <c r="Q33" s="29"/>
      <c r="R33" s="29"/>
      <c r="S33" s="29"/>
      <c r="T33" s="29"/>
      <c r="U33" s="29"/>
    </row>
    <row r="34" spans="2:21" x14ac:dyDescent="0.25">
      <c r="B34" s="37">
        <v>30</v>
      </c>
      <c r="C34" s="21"/>
      <c r="D34" s="9">
        <v>5.4910967710374328</v>
      </c>
      <c r="E34" s="9">
        <v>5.9901989504560103</v>
      </c>
      <c r="F34" s="9">
        <v>232.91045145729578</v>
      </c>
      <c r="G34" s="9">
        <v>254.0803777541399</v>
      </c>
      <c r="H34" s="9">
        <v>2373.9245762461919</v>
      </c>
      <c r="I34" s="24"/>
      <c r="J34" s="9">
        <v>5.655972052039985</v>
      </c>
      <c r="K34" s="9">
        <v>5.9124829020879321</v>
      </c>
      <c r="L34" s="22">
        <v>239.90380410316396</v>
      </c>
      <c r="M34" s="22">
        <v>250.78397256121772</v>
      </c>
      <c r="N34" s="22">
        <v>920.06367868935627</v>
      </c>
      <c r="O34" s="21"/>
      <c r="R34" s="52" t="s">
        <v>39</v>
      </c>
      <c r="S34" s="53"/>
      <c r="T34" s="54"/>
      <c r="U34" s="29"/>
    </row>
    <row r="35" spans="2:21" x14ac:dyDescent="0.25">
      <c r="B35" s="37">
        <v>31</v>
      </c>
      <c r="C35" s="21"/>
      <c r="D35" s="9">
        <v>5.64409282812729</v>
      </c>
      <c r="E35" s="9">
        <v>6.1597784423192534</v>
      </c>
      <c r="F35" s="9">
        <v>231.67735620504502</v>
      </c>
      <c r="G35" s="9">
        <v>252.84509447001079</v>
      </c>
      <c r="H35" s="9">
        <v>2452.8018582748268</v>
      </c>
      <c r="I35" s="24"/>
      <c r="J35" s="9">
        <v>5.8518406956548841</v>
      </c>
      <c r="K35" s="9">
        <v>6.1169032408268134</v>
      </c>
      <c r="L35" s="22">
        <v>240.20494038405977</v>
      </c>
      <c r="M35" s="22">
        <v>251.08516357748098</v>
      </c>
      <c r="N35" s="22">
        <v>950.73723236550143</v>
      </c>
      <c r="O35" s="21"/>
      <c r="Q35" s="39" t="s">
        <v>38</v>
      </c>
      <c r="R35" s="42">
        <v>1</v>
      </c>
      <c r="S35" s="42">
        <v>2</v>
      </c>
      <c r="T35" s="42">
        <v>3</v>
      </c>
    </row>
    <row r="36" spans="2:21" x14ac:dyDescent="0.25">
      <c r="B36" s="37">
        <v>32</v>
      </c>
      <c r="C36" s="21"/>
      <c r="D36" s="9">
        <v>5.7978614710423804</v>
      </c>
      <c r="E36" s="9">
        <v>6.3303322642061772</v>
      </c>
      <c r="F36" s="9">
        <v>230.55205129337955</v>
      </c>
      <c r="G36" s="9">
        <v>251.72576063963874</v>
      </c>
      <c r="H36" s="9">
        <v>2532.6387143758261</v>
      </c>
      <c r="I36" s="24"/>
      <c r="J36" s="9">
        <v>6.0381727765058359</v>
      </c>
      <c r="K36" s="9">
        <v>6.3117872631297729</v>
      </c>
      <c r="L36" s="22">
        <v>240.10803408122436</v>
      </c>
      <c r="M36" s="22">
        <v>250.98831838429035</v>
      </c>
      <c r="N36" s="22">
        <v>981.41166616230635</v>
      </c>
      <c r="O36" s="21"/>
      <c r="Q36" s="39">
        <v>75</v>
      </c>
      <c r="R36" s="39">
        <f>R7</f>
        <v>0</v>
      </c>
      <c r="S36" s="39">
        <f>R13</f>
        <v>0</v>
      </c>
      <c r="T36" s="39">
        <f>R19</f>
        <v>0</v>
      </c>
    </row>
    <row r="37" spans="2:21" x14ac:dyDescent="0.25">
      <c r="B37" s="37">
        <v>33</v>
      </c>
      <c r="C37" s="21"/>
      <c r="D37" s="9">
        <v>5.9515292299738451</v>
      </c>
      <c r="E37" s="9">
        <v>6.5007601265593902</v>
      </c>
      <c r="F37" s="9">
        <v>229.4910565914652</v>
      </c>
      <c r="G37" s="9">
        <v>250.66940822171475</v>
      </c>
      <c r="H37" s="9">
        <v>2612.3563013830881</v>
      </c>
      <c r="I37" s="24"/>
      <c r="J37" s="9">
        <v>6.2253409066151768</v>
      </c>
      <c r="K37" s="9">
        <v>6.5075063001134135</v>
      </c>
      <c r="L37" s="22">
        <v>240.0492389596254</v>
      </c>
      <c r="M37" s="22">
        <v>250.92954077538937</v>
      </c>
      <c r="N37" s="22">
        <v>1012.0824034523447</v>
      </c>
      <c r="O37" s="21"/>
      <c r="Q37" s="39">
        <v>50</v>
      </c>
      <c r="R37" s="39">
        <f t="shared" ref="R37:R40" si="3">R8</f>
        <v>0</v>
      </c>
      <c r="S37" s="39">
        <f t="shared" ref="S37:S40" si="4">R14</f>
        <v>0</v>
      </c>
      <c r="T37" s="39">
        <f t="shared" ref="T37:T40" si="5">R20</f>
        <v>0</v>
      </c>
    </row>
    <row r="38" spans="2:21" x14ac:dyDescent="0.25">
      <c r="B38" s="37">
        <v>34</v>
      </c>
      <c r="D38" s="9">
        <v>4.9773249975471447</v>
      </c>
      <c r="E38" s="9">
        <v>5.348777840005523</v>
      </c>
      <c r="F38" s="9">
        <v>298.04936388096894</v>
      </c>
      <c r="G38" s="9">
        <v>320.29249316448096</v>
      </c>
      <c r="H38" s="9">
        <v>1766.7745563757928</v>
      </c>
      <c r="I38" s="24"/>
      <c r="J38" s="9">
        <v>4.8888790705727674</v>
      </c>
      <c r="K38" s="9">
        <v>5.0706668712559964</v>
      </c>
      <c r="L38" s="22">
        <v>292.75309484377192</v>
      </c>
      <c r="M38" s="22">
        <v>303.6388092348671</v>
      </c>
      <c r="N38" s="22">
        <v>652.04268310405246</v>
      </c>
      <c r="Q38" s="39">
        <v>35</v>
      </c>
      <c r="R38" s="39">
        <f t="shared" si="3"/>
        <v>0</v>
      </c>
      <c r="S38" s="39">
        <f t="shared" si="4"/>
        <v>0</v>
      </c>
      <c r="T38" s="39">
        <f t="shared" si="5"/>
        <v>0</v>
      </c>
    </row>
    <row r="39" spans="2:21" x14ac:dyDescent="0.25">
      <c r="B39" s="37">
        <v>35</v>
      </c>
      <c r="D39" s="9">
        <v>5.0984163130538125</v>
      </c>
      <c r="E39" s="9">
        <v>5.4810503248453815</v>
      </c>
      <c r="F39" s="9">
        <v>296.57761461523245</v>
      </c>
      <c r="G39" s="9">
        <v>318.83564054325404</v>
      </c>
      <c r="H39" s="9">
        <v>1819.9565575086133</v>
      </c>
      <c r="I39" s="24"/>
      <c r="J39" s="9">
        <v>5.0332569489958097</v>
      </c>
      <c r="K39" s="9">
        <v>5.2203932971593368</v>
      </c>
      <c r="L39" s="22">
        <v>292.78725941950444</v>
      </c>
      <c r="M39" s="22">
        <v>303.67308127835167</v>
      </c>
      <c r="N39" s="22">
        <v>671.22700998264224</v>
      </c>
      <c r="Q39" s="39">
        <v>25</v>
      </c>
      <c r="R39" s="39">
        <f t="shared" si="3"/>
        <v>0</v>
      </c>
      <c r="S39" s="39">
        <f t="shared" si="4"/>
        <v>0</v>
      </c>
      <c r="T39" s="39">
        <f t="shared" si="5"/>
        <v>0</v>
      </c>
    </row>
    <row r="40" spans="2:21" x14ac:dyDescent="0.25">
      <c r="B40" s="37">
        <v>36</v>
      </c>
      <c r="D40" s="9">
        <v>5.2178935012018757</v>
      </c>
      <c r="E40" s="9">
        <v>5.6112903765592153</v>
      </c>
      <c r="F40" s="9">
        <v>295.09634272727425</v>
      </c>
      <c r="G40" s="9">
        <v>317.34478055597822</v>
      </c>
      <c r="H40" s="9">
        <v>1871.1489333049467</v>
      </c>
      <c r="I40" s="24"/>
      <c r="J40" s="9">
        <v>5.1871093950546134</v>
      </c>
      <c r="K40" s="9">
        <v>5.3795940443704069</v>
      </c>
      <c r="L40" s="22">
        <v>293.3553571866355</v>
      </c>
      <c r="M40" s="22">
        <v>304.24126661179895</v>
      </c>
      <c r="N40" s="22">
        <v>690.41045674057466</v>
      </c>
      <c r="Q40" s="39">
        <v>10</v>
      </c>
      <c r="R40" s="39">
        <f t="shared" si="3"/>
        <v>0</v>
      </c>
      <c r="S40" s="39">
        <f t="shared" si="4"/>
        <v>0</v>
      </c>
      <c r="T40" s="39">
        <f t="shared" si="5"/>
        <v>0</v>
      </c>
    </row>
    <row r="41" spans="2:21" x14ac:dyDescent="0.25">
      <c r="B41" s="37">
        <v>37</v>
      </c>
      <c r="D41" s="9">
        <v>5.3392646754816777</v>
      </c>
      <c r="E41" s="9">
        <v>5.7439168070247444</v>
      </c>
      <c r="F41" s="9">
        <v>293.79935841867194</v>
      </c>
      <c r="G41" s="9">
        <v>316.06582091041491</v>
      </c>
      <c r="H41" s="9">
        <v>1924.6833203965491</v>
      </c>
      <c r="I41" s="24"/>
      <c r="J41" s="9">
        <v>5.3147126501178565</v>
      </c>
      <c r="K41" s="9">
        <v>5.5125425953839926</v>
      </c>
      <c r="L41" s="22">
        <v>292.44835416280614</v>
      </c>
      <c r="M41" s="22">
        <v>303.33418105617852</v>
      </c>
      <c r="N41" s="22">
        <v>709.58316602646744</v>
      </c>
    </row>
    <row r="42" spans="2:21" x14ac:dyDescent="0.25">
      <c r="B42" s="37">
        <v>38</v>
      </c>
      <c r="D42" s="9">
        <v>5.4592853691085557</v>
      </c>
      <c r="E42" s="9">
        <v>5.874842838933823</v>
      </c>
      <c r="F42" s="9">
        <v>292.49828021930955</v>
      </c>
      <c r="G42" s="9">
        <v>314.76307076203693</v>
      </c>
      <c r="H42" s="9">
        <v>1976.5533614982251</v>
      </c>
      <c r="I42" s="24"/>
      <c r="J42" s="9">
        <v>5.4662454533248024</v>
      </c>
      <c r="K42" s="9">
        <v>5.6694239460712321</v>
      </c>
      <c r="L42" s="22">
        <v>292.87118848949325</v>
      </c>
      <c r="M42" s="22">
        <v>303.75711140573503</v>
      </c>
      <c r="N42" s="22">
        <v>728.76749290505757</v>
      </c>
    </row>
    <row r="43" spans="2:21" x14ac:dyDescent="0.25">
      <c r="B43" s="37">
        <v>39</v>
      </c>
      <c r="D43" s="9">
        <v>5.5803660301704907</v>
      </c>
      <c r="E43" s="9">
        <v>6.0071046693289478</v>
      </c>
      <c r="F43" s="9">
        <v>291.31925886658883</v>
      </c>
      <c r="G43" s="9">
        <v>313.59686277594744</v>
      </c>
      <c r="H43" s="9">
        <v>2029.7353626310492</v>
      </c>
      <c r="I43" s="24"/>
      <c r="J43" s="9">
        <v>5.6074088273362772</v>
      </c>
      <c r="K43" s="9">
        <v>5.8159351285789205</v>
      </c>
      <c r="L43" s="22">
        <v>292.73100992116537</v>
      </c>
      <c r="M43" s="22">
        <v>303.61698535785945</v>
      </c>
      <c r="N43" s="22">
        <v>747.94917942167194</v>
      </c>
    </row>
    <row r="44" spans="2:21" x14ac:dyDescent="0.25">
      <c r="B44" s="37">
        <v>40</v>
      </c>
      <c r="D44" s="9">
        <v>5.7002281209253667</v>
      </c>
      <c r="E44" s="9">
        <v>6.137832205445414</v>
      </c>
      <c r="F44" s="9">
        <v>290.13716430354623</v>
      </c>
      <c r="G44" s="9">
        <v>312.41087080736327</v>
      </c>
      <c r="H44" s="9">
        <v>2081.4156574472299</v>
      </c>
      <c r="I44" s="24"/>
      <c r="J44" s="9">
        <v>5.7484888880709821</v>
      </c>
      <c r="K44" s="9">
        <v>5.9623619632321292</v>
      </c>
      <c r="L44" s="22">
        <v>292.59359970046319</v>
      </c>
      <c r="M44" s="22">
        <v>303.47957237238859</v>
      </c>
      <c r="N44" s="22">
        <v>767.12716943151815</v>
      </c>
    </row>
    <row r="45" spans="2:21" x14ac:dyDescent="0.25">
      <c r="B45" s="37">
        <v>41</v>
      </c>
      <c r="D45" s="9">
        <v>5.8206234923186724</v>
      </c>
      <c r="E45" s="9">
        <v>6.2692320775235517</v>
      </c>
      <c r="F45" s="9">
        <v>289.03921442012091</v>
      </c>
      <c r="G45" s="9">
        <v>311.3161188137579</v>
      </c>
      <c r="H45" s="9">
        <v>2133.7573536014252</v>
      </c>
      <c r="I45" s="24"/>
      <c r="J45" s="9">
        <v>5.8963389981490968</v>
      </c>
      <c r="K45" s="9">
        <v>6.1155603744625173</v>
      </c>
      <c r="L45" s="22">
        <v>292.79907800750613</v>
      </c>
      <c r="M45" s="22">
        <v>303.68512388856129</v>
      </c>
      <c r="N45" s="22">
        <v>786.31061618945034</v>
      </c>
    </row>
    <row r="46" spans="2:21" x14ac:dyDescent="0.25">
      <c r="B46" s="37">
        <v>42</v>
      </c>
      <c r="D46" s="9">
        <v>5.9413151323826767</v>
      </c>
      <c r="E46" s="9">
        <v>6.4010057245181118</v>
      </c>
      <c r="F46" s="9">
        <v>288.00790962086205</v>
      </c>
      <c r="G46" s="9">
        <v>310.29161677379471</v>
      </c>
      <c r="H46" s="9">
        <v>2186.4676996817298</v>
      </c>
      <c r="I46" s="24"/>
      <c r="J46" s="9">
        <v>6.0410219347455074</v>
      </c>
      <c r="K46" s="9">
        <v>6.2655913658831661</v>
      </c>
      <c r="L46" s="22">
        <v>292.84124148151074</v>
      </c>
      <c r="M46" s="22">
        <v>303.72734514468493</v>
      </c>
      <c r="N46" s="22">
        <v>805.49318282672243</v>
      </c>
    </row>
    <row r="47" spans="2:21" x14ac:dyDescent="0.25">
      <c r="B47" s="37">
        <v>43</v>
      </c>
      <c r="D47" s="9">
        <v>6.0616094414483905</v>
      </c>
      <c r="E47" s="9">
        <v>6.5322794587185635</v>
      </c>
      <c r="F47" s="9">
        <v>287.00575961428149</v>
      </c>
      <c r="G47" s="9">
        <v>309.29109606479608</v>
      </c>
      <c r="H47" s="9">
        <v>2238.690126742184</v>
      </c>
      <c r="I47" s="24"/>
      <c r="J47" s="9">
        <v>6.1875973728779101</v>
      </c>
      <c r="K47" s="9">
        <v>6.4175151051678387</v>
      </c>
      <c r="L47" s="22">
        <v>292.97105023741364</v>
      </c>
      <c r="M47" s="22">
        <v>303.85722065833352</v>
      </c>
      <c r="N47" s="22">
        <v>824.67662958465473</v>
      </c>
    </row>
    <row r="48" spans="2:21" x14ac:dyDescent="0.25">
      <c r="B48" s="37">
        <v>44</v>
      </c>
      <c r="D48" s="9">
        <v>6.1821299104242557</v>
      </c>
      <c r="E48" s="9">
        <v>6.6638386223112001</v>
      </c>
      <c r="F48" s="9">
        <v>286.05962675617025</v>
      </c>
      <c r="G48" s="9">
        <v>308.3492609638277</v>
      </c>
      <c r="H48" s="9">
        <v>2291.1944625696633</v>
      </c>
      <c r="I48" s="24"/>
      <c r="J48" s="9">
        <v>6.3226222702122818</v>
      </c>
      <c r="K48" s="9">
        <v>6.5578852984525566</v>
      </c>
      <c r="L48" s="22">
        <v>292.56049176311382</v>
      </c>
      <c r="M48" s="22">
        <v>303.4465868505788</v>
      </c>
      <c r="N48" s="22">
        <v>843.8493388705474</v>
      </c>
    </row>
    <row r="49" spans="2:32" x14ac:dyDescent="0.25">
      <c r="B49" s="37">
        <v>45</v>
      </c>
      <c r="D49" s="9">
        <v>6.3031004993573445</v>
      </c>
      <c r="E49" s="9">
        <v>6.7959653050273845</v>
      </c>
      <c r="F49" s="9">
        <v>285.17590936256192</v>
      </c>
      <c r="G49" s="9">
        <v>307.47496189457951</v>
      </c>
      <c r="H49" s="9">
        <v>2344.2571946087455</v>
      </c>
      <c r="I49" s="24"/>
      <c r="J49" s="9">
        <v>6.4696405825344048</v>
      </c>
      <c r="K49" s="9">
        <v>6.7102533898951027</v>
      </c>
      <c r="L49" s="22">
        <v>292.71080741316052</v>
      </c>
      <c r="M49" s="22">
        <v>303.5970333507546</v>
      </c>
      <c r="N49" s="22">
        <v>863.03806635243302</v>
      </c>
    </row>
    <row r="50" spans="2:32" x14ac:dyDescent="0.25">
      <c r="B50" s="37">
        <v>46</v>
      </c>
      <c r="D50" s="9">
        <v>6.4234851726619331</v>
      </c>
      <c r="E50" s="9">
        <v>6.9273544790167998</v>
      </c>
      <c r="F50" s="9">
        <v>284.30468172660022</v>
      </c>
      <c r="G50" s="9">
        <v>306.60603355110493</v>
      </c>
      <c r="H50" s="9">
        <v>2396.598890762943</v>
      </c>
      <c r="I50" s="24"/>
      <c r="J50" s="9">
        <v>6.6135307608464418</v>
      </c>
      <c r="K50" s="9">
        <v>6.8594906377192766</v>
      </c>
      <c r="L50" s="22">
        <v>292.71613579086647</v>
      </c>
      <c r="M50" s="22">
        <v>303.60236696167289</v>
      </c>
      <c r="N50" s="22">
        <v>882.2171125070696</v>
      </c>
    </row>
    <row r="51" spans="2:32" x14ac:dyDescent="0.25">
      <c r="B51" s="37">
        <v>47</v>
      </c>
      <c r="D51" s="9">
        <v>6.543595700186609</v>
      </c>
      <c r="E51" s="9">
        <v>7.0583988397669533</v>
      </c>
      <c r="F51" s="9">
        <v>283.45865202721421</v>
      </c>
      <c r="G51" s="9">
        <v>305.75914409469641</v>
      </c>
      <c r="H51" s="9">
        <v>2448.604464925686</v>
      </c>
      <c r="I51" s="24"/>
      <c r="J51" s="9">
        <v>6.7538953338768462</v>
      </c>
      <c r="K51" s="9">
        <v>7.0052014920121337</v>
      </c>
      <c r="L51" s="22">
        <v>292.56851354967216</v>
      </c>
      <c r="M51" s="22">
        <v>303.45471558521893</v>
      </c>
      <c r="N51" s="22">
        <v>901.393342275598</v>
      </c>
    </row>
    <row r="52" spans="2:32" x14ac:dyDescent="0.25">
      <c r="B52" s="37">
        <v>48</v>
      </c>
      <c r="D52" s="9">
        <v>6.6649423480154981</v>
      </c>
      <c r="E52" s="9">
        <v>7.1910007437815704</v>
      </c>
      <c r="F52" s="9">
        <v>282.70030486457011</v>
      </c>
      <c r="G52" s="9">
        <v>305.01360647983705</v>
      </c>
      <c r="H52" s="9">
        <v>2502.1388520172909</v>
      </c>
      <c r="I52" s="24"/>
      <c r="J52" s="9">
        <v>6.8974586262769417</v>
      </c>
      <c r="K52" s="9">
        <v>7.1541145635326586</v>
      </c>
      <c r="L52" s="22">
        <v>292.5627191688825</v>
      </c>
      <c r="M52" s="22">
        <v>303.44904164834054</v>
      </c>
      <c r="N52" s="22">
        <v>920.58206975748362</v>
      </c>
    </row>
    <row r="53" spans="2:32" x14ac:dyDescent="0.25">
      <c r="B53" s="37">
        <v>49</v>
      </c>
      <c r="D53" s="9">
        <v>6.7843906048402047</v>
      </c>
      <c r="E53" s="9">
        <v>7.3212118641720467</v>
      </c>
      <c r="F53" s="9">
        <v>281.89403177299153</v>
      </c>
      <c r="G53" s="9">
        <v>304.19916099514251</v>
      </c>
      <c r="H53" s="9">
        <v>2553.3312278136214</v>
      </c>
      <c r="I53" s="24"/>
      <c r="J53" s="9">
        <v>7.0469925140038274</v>
      </c>
      <c r="K53" s="9">
        <v>7.3089955207716768</v>
      </c>
      <c r="L53" s="22">
        <v>292.80524181927126</v>
      </c>
      <c r="M53" s="22">
        <v>303.69156724129863</v>
      </c>
      <c r="N53" s="22">
        <v>939.76111591212009</v>
      </c>
    </row>
    <row r="54" spans="2:32" x14ac:dyDescent="0.25">
      <c r="B54" s="37">
        <v>50</v>
      </c>
      <c r="D54" s="9">
        <v>6.9054482296595641</v>
      </c>
      <c r="E54" s="9">
        <v>7.4534506583245985</v>
      </c>
      <c r="F54" s="9">
        <v>281.18554206537539</v>
      </c>
      <c r="G54" s="9">
        <v>303.49985893991033</v>
      </c>
      <c r="H54" s="9">
        <v>2606.5132289464445</v>
      </c>
      <c r="I54" s="24"/>
      <c r="J54" s="9">
        <v>7.1859782609552028</v>
      </c>
      <c r="K54" s="9">
        <v>7.4533287806256379</v>
      </c>
      <c r="L54" s="22">
        <v>292.60854985459883</v>
      </c>
      <c r="M54" s="22">
        <v>303.49489615607524</v>
      </c>
      <c r="N54" s="22">
        <v>958.94174628394455</v>
      </c>
      <c r="AD54" s="26"/>
    </row>
    <row r="55" spans="2:32" x14ac:dyDescent="0.25">
      <c r="B55" s="37">
        <v>51</v>
      </c>
      <c r="D55" s="9">
        <v>7.0257270488207517</v>
      </c>
      <c r="E55" s="9">
        <v>7.5847089026205214</v>
      </c>
      <c r="F55" s="9">
        <v>280.4737456008711</v>
      </c>
      <c r="G55" s="9">
        <v>302.78883600627694</v>
      </c>
      <c r="H55" s="9">
        <v>2658.7356560068997</v>
      </c>
      <c r="I55" s="24"/>
      <c r="J55" s="9">
        <v>7.3324872521163051</v>
      </c>
      <c r="K55" s="9">
        <v>7.6051863192670357</v>
      </c>
      <c r="L55" s="22">
        <v>292.71990640696589</v>
      </c>
      <c r="M55" s="22">
        <v>303.60631407042138</v>
      </c>
      <c r="N55" s="22">
        <v>978.12607316253434</v>
      </c>
    </row>
    <row r="56" spans="2:32" x14ac:dyDescent="0.25">
      <c r="B56" s="37">
        <v>52</v>
      </c>
      <c r="D56" s="9">
        <v>5.9930036348499236</v>
      </c>
      <c r="E56" s="9">
        <v>6.3638560379377891</v>
      </c>
      <c r="F56" s="9">
        <v>391.07590968273627</v>
      </c>
      <c r="G56" s="9">
        <v>415.2760353179425</v>
      </c>
      <c r="H56" s="9">
        <v>1763.918632605104</v>
      </c>
      <c r="I56" s="24"/>
      <c r="J56" s="9">
        <v>5.9237925840433556</v>
      </c>
      <c r="K56" s="9">
        <v>6.0907673829917854</v>
      </c>
      <c r="L56" s="22">
        <v>386.55951418167552</v>
      </c>
      <c r="M56" s="22">
        <v>397.45552315672836</v>
      </c>
      <c r="N56" s="22">
        <v>598.90871485266075</v>
      </c>
    </row>
    <row r="57" spans="2:32" x14ac:dyDescent="0.25">
      <c r="B57" s="37">
        <v>53</v>
      </c>
      <c r="D57" s="9">
        <v>6.0920882342708529</v>
      </c>
      <c r="E57" s="9">
        <v>6.470336409031118</v>
      </c>
      <c r="F57" s="9">
        <v>390.04092875708983</v>
      </c>
      <c r="G57" s="9">
        <v>414.25795643476357</v>
      </c>
      <c r="H57" s="9">
        <v>1799.0958064532888</v>
      </c>
      <c r="I57" s="24"/>
      <c r="J57" s="9">
        <v>6.0341709890702786</v>
      </c>
      <c r="K57" s="9">
        <v>6.2043572615497</v>
      </c>
      <c r="L57" s="22">
        <v>386.33282486227029</v>
      </c>
      <c r="M57" s="22">
        <v>397.22886070859374</v>
      </c>
      <c r="N57" s="22">
        <v>610.42768972848762</v>
      </c>
      <c r="P57" s="28"/>
    </row>
    <row r="58" spans="2:32" x14ac:dyDescent="0.25">
      <c r="B58" s="37">
        <v>54</v>
      </c>
      <c r="D58" s="9">
        <v>6.1901091518831208</v>
      </c>
      <c r="E58" s="9">
        <v>6.575477267264783</v>
      </c>
      <c r="F58" s="9">
        <v>388.97744024322503</v>
      </c>
      <c r="G58" s="9">
        <v>413.19341114042857</v>
      </c>
      <c r="H58" s="9">
        <v>1832.9610202703291</v>
      </c>
      <c r="I58" s="24"/>
      <c r="J58" s="9">
        <v>6.1503041459557366</v>
      </c>
      <c r="K58" s="9">
        <v>6.3237023353565984</v>
      </c>
      <c r="L58" s="22">
        <v>386.47615166581926</v>
      </c>
      <c r="M58" s="22">
        <v>397.37224125019088</v>
      </c>
      <c r="N58" s="22">
        <v>621.94824882150215</v>
      </c>
    </row>
    <row r="59" spans="2:32" x14ac:dyDescent="0.25">
      <c r="B59" s="37">
        <v>55</v>
      </c>
      <c r="D59" s="9">
        <v>6.2885460258873858</v>
      </c>
      <c r="E59" s="9">
        <v>6.6811423626749384</v>
      </c>
      <c r="F59" s="9">
        <v>387.97828689452274</v>
      </c>
      <c r="G59" s="9">
        <v>412.1999199335217</v>
      </c>
      <c r="H59" s="9">
        <v>1867.3412597194288</v>
      </c>
      <c r="I59" s="24"/>
      <c r="J59" s="9">
        <v>6.2619260663416405</v>
      </c>
      <c r="K59" s="9">
        <v>6.4385357292734984</v>
      </c>
      <c r="L59" s="22">
        <v>386.33594123000125</v>
      </c>
      <c r="M59" s="22">
        <v>397.23205524288267</v>
      </c>
      <c r="N59" s="22">
        <v>633.46722369732868</v>
      </c>
    </row>
    <row r="60" spans="2:32" x14ac:dyDescent="0.25">
      <c r="B60" s="37">
        <v>56</v>
      </c>
      <c r="D60" s="9">
        <v>6.3870564220618968</v>
      </c>
      <c r="E60" s="9">
        <v>6.7869003568167665</v>
      </c>
      <c r="F60" s="9">
        <v>387.01927261911538</v>
      </c>
      <c r="G60" s="9">
        <v>411.24753968991712</v>
      </c>
      <c r="H60" s="9">
        <v>1901.8136616500565</v>
      </c>
      <c r="I60" s="24"/>
      <c r="J60" s="9">
        <v>6.375923277101923</v>
      </c>
      <c r="K60" s="9">
        <v>6.5557446598927998</v>
      </c>
      <c r="L60" s="22">
        <v>386.34466738946855</v>
      </c>
      <c r="M60" s="22">
        <v>397.24081988448938</v>
      </c>
      <c r="N60" s="22">
        <v>644.98707869381599</v>
      </c>
      <c r="AE60" s="26"/>
      <c r="AF60" s="26"/>
    </row>
    <row r="61" spans="2:32" x14ac:dyDescent="0.25">
      <c r="B61" s="37">
        <v>57</v>
      </c>
      <c r="D61" s="9">
        <v>6.4850739978421217</v>
      </c>
      <c r="E61" s="9">
        <v>6.8920378732183973</v>
      </c>
      <c r="F61" s="9">
        <v>386.06456975267736</v>
      </c>
      <c r="G61" s="9">
        <v>410.29163848069851</v>
      </c>
      <c r="H61" s="9">
        <v>1935.6788754670963</v>
      </c>
      <c r="I61" s="24"/>
      <c r="J61" s="9">
        <v>6.4879541661988016</v>
      </c>
      <c r="K61" s="9">
        <v>6.6709862342709823</v>
      </c>
      <c r="L61" s="22">
        <v>386.23602977885542</v>
      </c>
      <c r="M61" s="22">
        <v>397.1321578160593</v>
      </c>
      <c r="N61" s="22">
        <v>656.50323718353457</v>
      </c>
    </row>
    <row r="62" spans="2:32" x14ac:dyDescent="0.25">
      <c r="B62" s="37">
        <v>58</v>
      </c>
      <c r="D62" s="9">
        <v>6.5844383764056937</v>
      </c>
      <c r="E62" s="9">
        <v>6.9988721103069054</v>
      </c>
      <c r="F62" s="9">
        <v>385.22158217009309</v>
      </c>
      <c r="G62" s="9">
        <v>409.46796577209642</v>
      </c>
      <c r="H62" s="9">
        <v>1971.2084352740599</v>
      </c>
      <c r="I62" s="24"/>
      <c r="J62" s="9">
        <v>6.5976024384110952</v>
      </c>
      <c r="K62" s="9">
        <v>6.7838474579824295</v>
      </c>
      <c r="L62" s="22">
        <v>385.99174364835636</v>
      </c>
      <c r="M62" s="22">
        <v>396.88798065585246</v>
      </c>
      <c r="N62" s="22">
        <v>668.02749278331601</v>
      </c>
    </row>
    <row r="63" spans="2:32" x14ac:dyDescent="0.25">
      <c r="B63" s="37">
        <v>59</v>
      </c>
      <c r="D63" s="9">
        <v>6.6819050490622383</v>
      </c>
      <c r="E63" s="9">
        <v>7.1033162488684285</v>
      </c>
      <c r="F63" s="9">
        <v>384.29802721723917</v>
      </c>
      <c r="G63" s="9">
        <v>408.53475185544647</v>
      </c>
      <c r="H63" s="9">
        <v>2004.3959837857549</v>
      </c>
      <c r="I63" s="24"/>
      <c r="J63" s="9">
        <v>6.7185399385797346</v>
      </c>
      <c r="K63" s="9">
        <v>6.9079971706661389</v>
      </c>
      <c r="L63" s="22">
        <v>386.40501851171604</v>
      </c>
      <c r="M63" s="22">
        <v>397.30131829422521</v>
      </c>
      <c r="N63" s="22">
        <v>679.54910802112113</v>
      </c>
    </row>
    <row r="64" spans="2:32" x14ac:dyDescent="0.25">
      <c r="B64" s="37">
        <v>60</v>
      </c>
      <c r="D64" s="9">
        <v>6.7809819889902592</v>
      </c>
      <c r="E64" s="9">
        <v>7.2097889604688516</v>
      </c>
      <c r="F64" s="9">
        <v>383.49632559377238</v>
      </c>
      <c r="G64" s="9">
        <v>407.74737038610942</v>
      </c>
      <c r="H64" s="9">
        <v>2039.5731576339394</v>
      </c>
      <c r="I64" s="24"/>
      <c r="J64" s="9">
        <v>6.8265676349574393</v>
      </c>
      <c r="K64" s="9">
        <v>7.0192360449812057</v>
      </c>
      <c r="L64" s="22">
        <v>386.07440761148251</v>
      </c>
      <c r="M64" s="22">
        <v>396.97070956628409</v>
      </c>
      <c r="N64" s="22">
        <v>691.06702675215888</v>
      </c>
    </row>
    <row r="65" spans="2:29" x14ac:dyDescent="0.25">
      <c r="B65" s="37">
        <v>61</v>
      </c>
      <c r="D65" s="9">
        <v>6.8799613415409162</v>
      </c>
      <c r="E65" s="9">
        <v>7.3161390091418133</v>
      </c>
      <c r="F65" s="9">
        <v>382.71548072148516</v>
      </c>
      <c r="G65" s="9">
        <v>406.97898126296718</v>
      </c>
      <c r="H65" s="9">
        <v>2074.6310623883846</v>
      </c>
      <c r="I65" s="24"/>
      <c r="J65" s="9">
        <v>6.9398707847099725</v>
      </c>
      <c r="K65" s="9">
        <v>7.1357518999048626</v>
      </c>
      <c r="L65" s="22">
        <v>386.04809702613824</v>
      </c>
      <c r="M65" s="22">
        <v>396.94448603830131</v>
      </c>
      <c r="N65" s="22">
        <v>702.59040223128181</v>
      </c>
    </row>
    <row r="66" spans="2:29" x14ac:dyDescent="0.25">
      <c r="B66" s="37">
        <v>62</v>
      </c>
      <c r="D66" s="9">
        <v>6.9779738390823276</v>
      </c>
      <c r="E66" s="9">
        <v>7.4212714473046315</v>
      </c>
      <c r="F66" s="9">
        <v>381.90690808628739</v>
      </c>
      <c r="G66" s="9">
        <v>406.1687386437506</v>
      </c>
      <c r="H66" s="9">
        <v>2108.496276205422</v>
      </c>
      <c r="I66" s="24"/>
      <c r="J66" s="9">
        <v>7.0583287322269213</v>
      </c>
      <c r="K66" s="9">
        <v>7.2574223062649157</v>
      </c>
      <c r="L66" s="22">
        <v>386.30475902384427</v>
      </c>
      <c r="M66" s="22">
        <v>397.20121880344959</v>
      </c>
      <c r="N66" s="22">
        <v>714.11289758974385</v>
      </c>
    </row>
    <row r="67" spans="2:29" x14ac:dyDescent="0.25">
      <c r="B67" s="37">
        <v>63</v>
      </c>
      <c r="D67" s="9">
        <v>7.0759283144874212</v>
      </c>
      <c r="E67" s="9">
        <v>7.526331045960621</v>
      </c>
      <c r="F67" s="9">
        <v>381.12087925805622</v>
      </c>
      <c r="G67" s="9">
        <v>405.38029475945973</v>
      </c>
      <c r="H67" s="9">
        <v>2142.2910128307049</v>
      </c>
      <c r="I67" s="24"/>
      <c r="J67" s="9">
        <v>7.1746827938323872</v>
      </c>
      <c r="K67" s="9">
        <v>7.376988087729397</v>
      </c>
      <c r="L67" s="22">
        <v>386.43995434274376</v>
      </c>
      <c r="M67" s="22">
        <v>397.33644284033437</v>
      </c>
      <c r="N67" s="22">
        <v>725.63275258623116</v>
      </c>
    </row>
    <row r="68" spans="2:29" x14ac:dyDescent="0.25">
      <c r="B68" s="37">
        <v>64</v>
      </c>
      <c r="D68" s="9">
        <v>7.1742243072361251</v>
      </c>
      <c r="E68" s="9">
        <v>7.6318210661832637</v>
      </c>
      <c r="F68" s="9">
        <v>380.37752108732587</v>
      </c>
      <c r="G68" s="9">
        <v>404.63931070691524</v>
      </c>
      <c r="H68" s="9">
        <v>2176.5086126065244</v>
      </c>
      <c r="I68" s="24"/>
      <c r="J68" s="9">
        <v>7.281988318069426</v>
      </c>
      <c r="K68" s="9">
        <v>7.4875042972477432</v>
      </c>
      <c r="L68" s="22">
        <v>386.09117116958691</v>
      </c>
      <c r="M68" s="22">
        <v>396.98763263439429</v>
      </c>
      <c r="N68" s="22">
        <v>737.14891107594974</v>
      </c>
    </row>
    <row r="69" spans="2:29" x14ac:dyDescent="0.25">
      <c r="B69" s="37">
        <v>65</v>
      </c>
      <c r="D69" s="9">
        <v>7.2732964714611281</v>
      </c>
      <c r="E69" s="9">
        <v>7.7382890020806636</v>
      </c>
      <c r="F69" s="9">
        <v>379.69755498606543</v>
      </c>
      <c r="G69" s="9">
        <v>403.97217759436842</v>
      </c>
      <c r="H69" s="9">
        <v>2211.6857864547082</v>
      </c>
      <c r="I69" s="24"/>
      <c r="J69" s="9">
        <v>7.4004178627387383</v>
      </c>
      <c r="K69" s="9">
        <v>7.609148025056343</v>
      </c>
      <c r="L69" s="22">
        <v>386.33384179823202</v>
      </c>
      <c r="M69" s="22">
        <v>397.23045966535955</v>
      </c>
      <c r="N69" s="22">
        <v>748.67756727902713</v>
      </c>
    </row>
    <row r="70" spans="2:29" x14ac:dyDescent="0.25">
      <c r="B70" s="37">
        <v>66</v>
      </c>
      <c r="D70" s="9">
        <v>7.3719857814645113</v>
      </c>
      <c r="E70" s="9">
        <v>7.8442749213538203</v>
      </c>
      <c r="F70" s="9">
        <v>379.01851009878658</v>
      </c>
      <c r="G70" s="9">
        <v>403.30047854570921</v>
      </c>
      <c r="H70" s="9">
        <v>2246.3913052503731</v>
      </c>
      <c r="I70" s="24"/>
      <c r="J70" s="9">
        <v>7.5144647076203208</v>
      </c>
      <c r="K70" s="9">
        <v>7.7264063434689181</v>
      </c>
      <c r="L70" s="22">
        <v>386.34382947851577</v>
      </c>
      <c r="M70" s="22">
        <v>397.24045969845042</v>
      </c>
      <c r="N70" s="22">
        <v>760.19654215485411</v>
      </c>
    </row>
    <row r="71" spans="2:29" x14ac:dyDescent="0.25">
      <c r="B71" s="37">
        <v>67</v>
      </c>
      <c r="D71" s="9">
        <v>7.4701122592055871</v>
      </c>
      <c r="E71" s="9">
        <v>7.949552114255046</v>
      </c>
      <c r="F71" s="9">
        <v>378.33123001107271</v>
      </c>
      <c r="G71" s="9">
        <v>402.6129360662481</v>
      </c>
      <c r="H71" s="9">
        <v>2280.4028947733668</v>
      </c>
      <c r="I71" s="24"/>
      <c r="J71" s="9">
        <v>7.6206459863144955</v>
      </c>
      <c r="K71" s="9">
        <v>7.8357983074443966</v>
      </c>
      <c r="L71" s="22">
        <v>385.95515963342632</v>
      </c>
      <c r="M71" s="22">
        <v>396.85176191574186</v>
      </c>
      <c r="N71" s="22">
        <v>771.71270064457428</v>
      </c>
    </row>
    <row r="72" spans="2:29" x14ac:dyDescent="0.25">
      <c r="B72" s="37">
        <v>68</v>
      </c>
      <c r="D72" s="9">
        <v>7.5687998306725026</v>
      </c>
      <c r="E72" s="9">
        <v>8.0555362949917324</v>
      </c>
      <c r="F72" s="9">
        <v>377.69216329153272</v>
      </c>
      <c r="G72" s="9">
        <v>401.98089496291419</v>
      </c>
      <c r="H72" s="9">
        <v>2315.1084135690307</v>
      </c>
      <c r="I72" s="24"/>
      <c r="J72" s="9">
        <v>7.7425554313126685</v>
      </c>
      <c r="K72" s="9">
        <v>7.9609219355818599</v>
      </c>
      <c r="L72" s="22">
        <v>386.3627755626955</v>
      </c>
      <c r="M72" s="22">
        <v>397.25952527638333</v>
      </c>
      <c r="N72" s="22">
        <v>783.24135684764997</v>
      </c>
    </row>
    <row r="73" spans="2:29" x14ac:dyDescent="0.25">
      <c r="B73" s="37">
        <v>69</v>
      </c>
      <c r="D73" s="9">
        <v>7.6671880213341277</v>
      </c>
      <c r="E73" s="9">
        <v>8.1611435886773833</v>
      </c>
      <c r="F73" s="9">
        <v>377.0568972987171</v>
      </c>
      <c r="G73" s="9">
        <v>401.34863934386226</v>
      </c>
      <c r="H73" s="9">
        <v>2349.4452824385912</v>
      </c>
      <c r="I73" s="24"/>
      <c r="J73" s="9">
        <v>7.853482044305875</v>
      </c>
      <c r="K73" s="9">
        <v>8.0750595294500069</v>
      </c>
      <c r="L73" s="22">
        <v>386.21846293289343</v>
      </c>
      <c r="M73" s="22">
        <v>397.11519832365553</v>
      </c>
      <c r="N73" s="22">
        <v>794.75857148215937</v>
      </c>
    </row>
    <row r="74" spans="2:29" x14ac:dyDescent="0.25">
      <c r="B74" s="37">
        <v>70</v>
      </c>
      <c r="D74" s="9">
        <v>7.7655885552115773</v>
      </c>
      <c r="E74" s="9">
        <v>8.2667666449720638</v>
      </c>
      <c r="F74" s="9">
        <v>376.44038010574963</v>
      </c>
      <c r="G74" s="9">
        <v>400.73521227059518</v>
      </c>
      <c r="H74" s="9">
        <v>2383.798415275478</v>
      </c>
      <c r="I74" s="24"/>
      <c r="J74" s="9">
        <v>7.9639439438321231</v>
      </c>
      <c r="K74" s="9">
        <v>8.1887328532416426</v>
      </c>
      <c r="L74" s="22">
        <v>386.05574632782822</v>
      </c>
      <c r="M74" s="22">
        <v>396.95248929844149</v>
      </c>
      <c r="N74" s="22">
        <v>806.27737033385608</v>
      </c>
    </row>
    <row r="75" spans="2:29" x14ac:dyDescent="0.25">
      <c r="B75" s="37">
        <v>71</v>
      </c>
      <c r="D75" s="9">
        <v>7.8646555846291664</v>
      </c>
      <c r="E75" s="9">
        <v>8.3732294460620587</v>
      </c>
      <c r="F75" s="9">
        <v>375.87308321213737</v>
      </c>
      <c r="G75" s="9">
        <v>400.17919849981627</v>
      </c>
      <c r="H75" s="9">
        <v>2418.9755891236609</v>
      </c>
      <c r="I75" s="24"/>
      <c r="J75" s="9">
        <v>8.0784007309111363</v>
      </c>
      <c r="K75" s="9">
        <v>8.3064025918198094</v>
      </c>
      <c r="L75" s="22">
        <v>386.08853973024014</v>
      </c>
      <c r="M75" s="22">
        <v>396.98536305780476</v>
      </c>
      <c r="N75" s="22">
        <v>817.80162593363752</v>
      </c>
      <c r="O75" s="28"/>
    </row>
    <row r="76" spans="2:29" x14ac:dyDescent="0.25">
      <c r="B76" s="37">
        <v>72</v>
      </c>
      <c r="D76" s="9">
        <v>7.9623959808729037</v>
      </c>
      <c r="E76" s="9">
        <v>8.4780213950633083</v>
      </c>
      <c r="F76" s="9">
        <v>375.25902179374424</v>
      </c>
      <c r="G76" s="9">
        <v>399.55988412285853</v>
      </c>
      <c r="H76" s="9">
        <v>2452.5155235941365</v>
      </c>
      <c r="I76" s="24"/>
      <c r="J76" s="9">
        <v>8.1943805334059814</v>
      </c>
      <c r="K76" s="9">
        <v>8.4255946068297245</v>
      </c>
      <c r="L76" s="22">
        <v>386.19220025710405</v>
      </c>
      <c r="M76" s="22">
        <v>397.08906688196998</v>
      </c>
      <c r="N76" s="22">
        <v>829.32324117144265</v>
      </c>
    </row>
    <row r="77" spans="2:29" x14ac:dyDescent="0.25">
      <c r="B77" s="37">
        <v>73</v>
      </c>
      <c r="D77" s="9">
        <v>8.0614614231114068</v>
      </c>
      <c r="E77" s="9">
        <v>8.5844826089742128</v>
      </c>
      <c r="F77" s="9">
        <v>374.72337649402368</v>
      </c>
      <c r="G77" s="9">
        <v>399.03513021432803</v>
      </c>
      <c r="H77" s="9">
        <v>2487.6926974423186</v>
      </c>
      <c r="I77" s="24"/>
      <c r="J77" s="9">
        <v>8.3049512203766032</v>
      </c>
      <c r="K77" s="9">
        <v>8.5393767673313352</v>
      </c>
      <c r="L77" s="22">
        <v>386.04158719853433</v>
      </c>
      <c r="M77" s="22">
        <v>396.93846158405131</v>
      </c>
      <c r="N77" s="22">
        <v>840.84221604726952</v>
      </c>
    </row>
    <row r="78" spans="2:29" x14ac:dyDescent="0.25">
      <c r="B78" s="37">
        <v>74</v>
      </c>
      <c r="D78" s="9">
        <v>8.1601441485671025</v>
      </c>
      <c r="E78" s="9">
        <v>8.6904619436996828</v>
      </c>
      <c r="F78" s="9">
        <v>374.18465855765828</v>
      </c>
      <c r="G78" s="9">
        <v>398.5024622000829</v>
      </c>
      <c r="H78" s="9">
        <v>2522.398216237988</v>
      </c>
      <c r="I78" s="24"/>
      <c r="J78" s="9">
        <v>8.4213129380656184</v>
      </c>
      <c r="K78" s="9">
        <v>8.6589518799099547</v>
      </c>
      <c r="L78" s="22">
        <v>386.16059336287611</v>
      </c>
      <c r="M78" s="22">
        <v>397.05756340349001</v>
      </c>
      <c r="N78" s="22">
        <v>852.36805586423702</v>
      </c>
    </row>
    <row r="79" spans="2:29" x14ac:dyDescent="0.25">
      <c r="B79" s="37">
        <v>75</v>
      </c>
      <c r="D79" s="9">
        <v>8.2584310051254999</v>
      </c>
      <c r="E79" s="9">
        <v>8.7959428277320146</v>
      </c>
      <c r="F79" s="9">
        <v>373.64239583912138</v>
      </c>
      <c r="G79" s="9">
        <v>397.96144688718414</v>
      </c>
      <c r="H79" s="9">
        <v>2556.6158160138016</v>
      </c>
      <c r="I79" s="24"/>
      <c r="J79" s="9">
        <v>8.5341986154440832</v>
      </c>
      <c r="K79" s="9">
        <v>8.7750490308194102</v>
      </c>
      <c r="L79" s="22">
        <v>386.11915692731293</v>
      </c>
      <c r="M79" s="22">
        <v>397.01613314275056</v>
      </c>
      <c r="N79" s="22">
        <v>863.88703074006537</v>
      </c>
      <c r="R79" s="29"/>
      <c r="S79" s="29"/>
      <c r="T79" s="29"/>
      <c r="U79" s="29"/>
      <c r="V79" s="29"/>
      <c r="W79" s="29"/>
      <c r="X79" s="29"/>
      <c r="Y79" s="29"/>
      <c r="Z79" s="29"/>
      <c r="AA79" s="29"/>
      <c r="AB79" s="29"/>
      <c r="AC79" s="29"/>
    </row>
    <row r="80" spans="2:29" x14ac:dyDescent="0.25">
      <c r="B80" s="37">
        <v>76</v>
      </c>
      <c r="D80" s="9">
        <v>8.3569454031171357</v>
      </c>
      <c r="E80" s="9">
        <v>8.9017105226796289</v>
      </c>
      <c r="F80" s="9">
        <v>373.12456256180423</v>
      </c>
      <c r="G80" s="9">
        <v>397.4474744788626</v>
      </c>
      <c r="H80" s="9">
        <v>2591.1153245566452</v>
      </c>
      <c r="I80" s="24"/>
      <c r="J80" s="9">
        <v>8.6470860496287401</v>
      </c>
      <c r="K80" s="9">
        <v>8.8911479385350614</v>
      </c>
      <c r="L80" s="22">
        <v>386.07888936291761</v>
      </c>
      <c r="M80" s="22">
        <v>396.9758715906836</v>
      </c>
      <c r="N80" s="22">
        <v>875.40600561589349</v>
      </c>
      <c r="V80" s="29"/>
      <c r="W80" s="29"/>
      <c r="X80" s="29"/>
      <c r="Y80" s="29"/>
      <c r="Z80" s="29"/>
      <c r="AA80" s="29"/>
      <c r="AB80" s="29"/>
      <c r="AC80" s="29"/>
    </row>
    <row r="81" spans="2:29" x14ac:dyDescent="0.25">
      <c r="B81" s="37">
        <v>77</v>
      </c>
      <c r="D81" s="9">
        <v>8.4543747213276319</v>
      </c>
      <c r="E81" s="9">
        <v>9.006111607806444</v>
      </c>
      <c r="F81" s="9">
        <v>372.5723615649967</v>
      </c>
      <c r="G81" s="9">
        <v>396.88662743723955</v>
      </c>
      <c r="H81" s="9">
        <v>2624.2757664561268</v>
      </c>
      <c r="I81" s="24"/>
      <c r="J81" s="9">
        <v>8.7663944183249747</v>
      </c>
      <c r="K81" s="9">
        <v>9.013668716808791</v>
      </c>
      <c r="L81" s="22">
        <v>386.32262923078088</v>
      </c>
      <c r="M81" s="22">
        <v>397.21965856495922</v>
      </c>
      <c r="N81" s="22">
        <v>886.92832495022435</v>
      </c>
      <c r="V81" s="29"/>
      <c r="W81" s="29"/>
      <c r="X81" s="29"/>
      <c r="Y81" s="29"/>
      <c r="Z81" s="29"/>
      <c r="AA81" s="29"/>
      <c r="AB81" s="29"/>
      <c r="AC81" s="29"/>
    </row>
    <row r="82" spans="2:29" x14ac:dyDescent="0.25">
      <c r="B82" s="37">
        <v>78</v>
      </c>
      <c r="D82" s="9">
        <v>6.804703472667045</v>
      </c>
      <c r="E82" s="9">
        <v>7.0604380972720859</v>
      </c>
      <c r="F82" s="9">
        <v>888.08743089012978</v>
      </c>
      <c r="G82" s="9">
        <v>921.4635664803742</v>
      </c>
      <c r="H82" s="9">
        <v>1216.3735911837398</v>
      </c>
      <c r="I82" s="24"/>
      <c r="J82" s="9">
        <v>6.575986692402747</v>
      </c>
      <c r="K82" s="9">
        <v>6.6576834470163817</v>
      </c>
      <c r="L82" s="22">
        <v>858.23741632266604</v>
      </c>
      <c r="M82" s="22">
        <v>868.89972676842115</v>
      </c>
      <c r="N82" s="22">
        <v>293.02394403518747</v>
      </c>
      <c r="V82" s="29"/>
      <c r="W82" s="29"/>
      <c r="X82" s="29"/>
      <c r="Y82" s="29"/>
      <c r="Z82" s="29"/>
      <c r="AA82" s="29"/>
      <c r="AB82" s="29"/>
      <c r="AC82" s="29"/>
    </row>
    <row r="83" spans="2:29" x14ac:dyDescent="0.25">
      <c r="B83" s="37">
        <v>79</v>
      </c>
      <c r="D83" s="9">
        <v>6.8807270132518035</v>
      </c>
      <c r="E83" s="9">
        <v>7.1397961808174584</v>
      </c>
      <c r="F83" s="9">
        <v>886.64211886810574</v>
      </c>
      <c r="G83" s="9">
        <v>920.02545688186785</v>
      </c>
      <c r="H83" s="9">
        <v>1232.2339777161408</v>
      </c>
      <c r="I83" s="24"/>
      <c r="J83" s="9">
        <v>6.6588862157050723</v>
      </c>
      <c r="K83" s="9">
        <v>6.7416244994500127</v>
      </c>
      <c r="L83" s="22">
        <v>858.05598336099933</v>
      </c>
      <c r="M83" s="22">
        <v>868.71753802954515</v>
      </c>
      <c r="N83" s="22">
        <v>296.75962454447216</v>
      </c>
      <c r="V83" s="29"/>
      <c r="W83" s="29"/>
      <c r="X83" s="29"/>
      <c r="Y83" s="29"/>
      <c r="Z83" s="29"/>
      <c r="AA83" s="29"/>
      <c r="AB83" s="29"/>
      <c r="AC83" s="29"/>
    </row>
    <row r="84" spans="2:29" x14ac:dyDescent="0.25">
      <c r="B84" s="37">
        <v>80</v>
      </c>
      <c r="D84" s="9">
        <v>6.9568819161501292</v>
      </c>
      <c r="E84" s="9">
        <v>7.2193198206083338</v>
      </c>
      <c r="F84" s="9">
        <v>885.24965524482707</v>
      </c>
      <c r="G84" s="9">
        <v>918.64436673266641</v>
      </c>
      <c r="H84" s="9">
        <v>1248.2570039218251</v>
      </c>
      <c r="I84" s="24"/>
      <c r="J84" s="9">
        <v>6.7422801014903522</v>
      </c>
      <c r="K84" s="9">
        <v>6.8260691798323521</v>
      </c>
      <c r="L84" s="22">
        <v>857.94199288513403</v>
      </c>
      <c r="M84" s="22">
        <v>868.60398968334687</v>
      </c>
      <c r="N84" s="22">
        <v>300.52853774866298</v>
      </c>
      <c r="V84" s="29"/>
      <c r="W84" s="29"/>
      <c r="X84" s="29"/>
      <c r="Y84" s="29"/>
      <c r="Z84" s="29"/>
      <c r="AA84" s="29"/>
      <c r="AB84" s="29"/>
      <c r="AC84" s="29"/>
    </row>
    <row r="85" spans="2:29" x14ac:dyDescent="0.25">
      <c r="B85" s="37">
        <v>81</v>
      </c>
      <c r="D85" s="9">
        <v>7.0330145080591624</v>
      </c>
      <c r="E85" s="9">
        <v>7.2988154504212686</v>
      </c>
      <c r="F85" s="9">
        <v>883.88876945928587</v>
      </c>
      <c r="G85" s="9">
        <v>917.29385736239533</v>
      </c>
      <c r="H85" s="9">
        <v>1264.2529235152954</v>
      </c>
      <c r="I85" s="24"/>
      <c r="J85" s="9">
        <v>6.828792982667248</v>
      </c>
      <c r="K85" s="9">
        <v>6.913638646522414</v>
      </c>
      <c r="L85" s="22">
        <v>858.22280324111421</v>
      </c>
      <c r="M85" s="22">
        <v>868.88595903767384</v>
      </c>
      <c r="N85" s="22">
        <v>304.31822138717001</v>
      </c>
      <c r="V85" s="29"/>
      <c r="W85" s="29"/>
      <c r="X85" s="29"/>
      <c r="Y85" s="29"/>
      <c r="Z85" s="29"/>
      <c r="AA85" s="29"/>
      <c r="AB85" s="29"/>
      <c r="AC85" s="29"/>
    </row>
    <row r="86" spans="2:29" x14ac:dyDescent="0.25">
      <c r="B86" s="37">
        <v>82</v>
      </c>
      <c r="D86" s="9">
        <v>7.1090369789647747</v>
      </c>
      <c r="E86" s="9">
        <v>7.3781724642874877</v>
      </c>
      <c r="F86" s="9">
        <v>882.54740509982435</v>
      </c>
      <c r="G86" s="9">
        <v>915.95907884616497</v>
      </c>
      <c r="H86" s="9">
        <v>1280.1133100476941</v>
      </c>
      <c r="I86" s="24"/>
      <c r="J86" s="9">
        <v>6.9108354300295769</v>
      </c>
      <c r="K86" s="9">
        <v>6.9967284139321446</v>
      </c>
      <c r="L86" s="22">
        <v>857.94178506758794</v>
      </c>
      <c r="M86" s="22">
        <v>868.60492133819582</v>
      </c>
      <c r="N86" s="22">
        <v>308.07467233077074</v>
      </c>
      <c r="V86" s="29"/>
      <c r="W86" s="29"/>
      <c r="X86" s="29"/>
      <c r="Y86" s="29"/>
      <c r="Z86" s="29"/>
      <c r="AA86" s="29"/>
      <c r="AB86" s="29"/>
      <c r="AC86" s="29"/>
    </row>
    <row r="87" spans="2:29" x14ac:dyDescent="0.25">
      <c r="B87" s="37">
        <v>83</v>
      </c>
      <c r="D87" s="9">
        <v>7.1855728301646504</v>
      </c>
      <c r="E87" s="9">
        <v>7.458176214782549</v>
      </c>
      <c r="F87" s="9">
        <v>881.30132821037978</v>
      </c>
      <c r="G87" s="9">
        <v>914.73578508901028</v>
      </c>
      <c r="H87" s="9">
        <v>1296.6079913058979</v>
      </c>
      <c r="I87" s="24"/>
      <c r="J87" s="9">
        <v>6.9937334896134784</v>
      </c>
      <c r="K87" s="9">
        <v>7.0806830590292176</v>
      </c>
      <c r="L87" s="22">
        <v>857.77247816226497</v>
      </c>
      <c r="M87" s="22">
        <v>868.43673177496635</v>
      </c>
      <c r="N87" s="22">
        <v>311.86435596927731</v>
      </c>
      <c r="V87" s="29"/>
      <c r="W87" s="29"/>
      <c r="X87" s="29"/>
      <c r="Y87" s="29"/>
      <c r="Z87" s="29"/>
      <c r="AA87" s="29"/>
      <c r="AB87" s="29"/>
      <c r="AC87" s="29"/>
    </row>
    <row r="88" spans="2:29" x14ac:dyDescent="0.25">
      <c r="B88" s="37">
        <v>84</v>
      </c>
      <c r="D88" s="9">
        <v>7.2615946175155424</v>
      </c>
      <c r="E88" s="9">
        <v>7.5375325450940487</v>
      </c>
      <c r="F88" s="9">
        <v>880.02262113053041</v>
      </c>
      <c r="G88" s="9">
        <v>913.46315741593992</v>
      </c>
      <c r="H88" s="9">
        <v>1312.4683778382994</v>
      </c>
      <c r="I88" s="24"/>
      <c r="J88" s="9">
        <v>7.0785206481095022</v>
      </c>
      <c r="K88" s="9">
        <v>7.166521012122308</v>
      </c>
      <c r="L88" s="22">
        <v>857.83613966145117</v>
      </c>
      <c r="M88" s="22">
        <v>868.50078221973899</v>
      </c>
      <c r="N88" s="22">
        <v>315.63326917346842</v>
      </c>
      <c r="V88" s="29"/>
      <c r="W88" s="29"/>
      <c r="X88" s="29"/>
      <c r="Y88" s="29"/>
      <c r="Z88" s="29"/>
      <c r="AA88" s="29"/>
      <c r="AB88" s="29"/>
      <c r="AC88" s="29"/>
    </row>
    <row r="89" spans="2:29" x14ac:dyDescent="0.25">
      <c r="B89" s="37">
        <v>85</v>
      </c>
      <c r="D89" s="9">
        <v>7.3386786431188229</v>
      </c>
      <c r="E89" s="9">
        <v>7.6182269447089404</v>
      </c>
      <c r="F89" s="9">
        <v>878.90121797806103</v>
      </c>
      <c r="G89" s="9">
        <v>912.38072494375035</v>
      </c>
      <c r="H89" s="9">
        <v>1329.6407244018453</v>
      </c>
      <c r="I89" s="24"/>
      <c r="J89" s="9">
        <v>7.1531083300694522</v>
      </c>
      <c r="K89" s="9">
        <v>7.2421502232135602</v>
      </c>
      <c r="L89" s="22">
        <v>856.67678465823008</v>
      </c>
      <c r="M89" s="22">
        <v>867.34069735166963</v>
      </c>
      <c r="N89" s="22">
        <v>319.36894968275288</v>
      </c>
      <c r="V89" s="29"/>
      <c r="W89" s="29"/>
      <c r="X89" s="29"/>
      <c r="Y89" s="29"/>
      <c r="Z89" s="29"/>
      <c r="AA89" s="29"/>
      <c r="AB89" s="29"/>
      <c r="AC89" s="29"/>
    </row>
    <row r="90" spans="2:29" x14ac:dyDescent="0.25">
      <c r="B90" s="37">
        <v>86</v>
      </c>
      <c r="D90" s="9">
        <v>7.4146997683483704</v>
      </c>
      <c r="E90" s="9">
        <v>7.6975826128990992</v>
      </c>
      <c r="F90" s="9">
        <v>877.68007815518888</v>
      </c>
      <c r="G90" s="9">
        <v>911.16499930788314</v>
      </c>
      <c r="H90" s="9">
        <v>1345.501110934247</v>
      </c>
      <c r="I90" s="24"/>
      <c r="J90" s="9">
        <v>7.2415773799866816</v>
      </c>
      <c r="K90" s="9">
        <v>7.3316758586439565</v>
      </c>
      <c r="L90" s="22">
        <v>857.18753279329542</v>
      </c>
      <c r="M90" s="22">
        <v>867.85251482360559</v>
      </c>
      <c r="N90" s="22">
        <v>323.158633321259</v>
      </c>
    </row>
    <row r="91" spans="2:29" x14ac:dyDescent="0.25">
      <c r="B91" s="37">
        <v>87</v>
      </c>
      <c r="D91" s="9">
        <v>7.4902814944890856</v>
      </c>
      <c r="E91" s="9">
        <v>7.7763849022272833</v>
      </c>
      <c r="F91" s="9">
        <v>876.4355965562379</v>
      </c>
      <c r="G91" s="9">
        <v>909.9124706927156</v>
      </c>
      <c r="H91" s="9">
        <v>1360.8193652223713</v>
      </c>
      <c r="I91" s="24"/>
      <c r="J91" s="9">
        <v>7.3244523618498256</v>
      </c>
      <c r="K91" s="9">
        <v>7.415598160554504</v>
      </c>
      <c r="L91" s="22">
        <v>857.03197936267509</v>
      </c>
      <c r="M91" s="22">
        <v>867.69692199802239</v>
      </c>
      <c r="N91" s="22">
        <v>326.91508426486052</v>
      </c>
    </row>
    <row r="92" spans="2:29" x14ac:dyDescent="0.25">
      <c r="B92" s="37">
        <v>88</v>
      </c>
      <c r="D92" s="9">
        <v>7.5666839781772657</v>
      </c>
      <c r="E92" s="9">
        <v>7.8562210912787034</v>
      </c>
      <c r="F92" s="9">
        <v>875.31434390010224</v>
      </c>
      <c r="G92" s="9">
        <v>908.80801020360298</v>
      </c>
      <c r="H92" s="9">
        <v>1377.1514068072918</v>
      </c>
      <c r="I92" s="24"/>
      <c r="J92" s="9">
        <v>7.4087649988047639</v>
      </c>
      <c r="K92" s="9">
        <v>7.5009673830226067</v>
      </c>
      <c r="L92" s="22">
        <v>857.0462692431621</v>
      </c>
      <c r="M92" s="22">
        <v>867.71224520838371</v>
      </c>
      <c r="N92" s="22">
        <v>330.7047679033675</v>
      </c>
    </row>
    <row r="93" spans="2:29" x14ac:dyDescent="0.25">
      <c r="B93" s="37">
        <v>89</v>
      </c>
      <c r="D93" s="9">
        <v>7.6433847197243274</v>
      </c>
      <c r="E93" s="9">
        <v>7.9364330444347448</v>
      </c>
      <c r="F93" s="9">
        <v>874.25240274709404</v>
      </c>
      <c r="G93" s="9">
        <v>907.77134905081141</v>
      </c>
      <c r="H93" s="9">
        <v>1393.8520983183189</v>
      </c>
      <c r="I93" s="24"/>
      <c r="J93" s="9">
        <v>7.494041577328117</v>
      </c>
      <c r="K93" s="9">
        <v>7.5873092334332748</v>
      </c>
      <c r="L93" s="22">
        <v>857.17049389894214</v>
      </c>
      <c r="M93" s="22">
        <v>867.83847352295675</v>
      </c>
      <c r="N93" s="22">
        <v>334.52560719334753</v>
      </c>
    </row>
    <row r="94" spans="2:29" x14ac:dyDescent="0.25">
      <c r="B94" s="37">
        <v>90</v>
      </c>
      <c r="D94" s="9">
        <v>7.7188557431355855</v>
      </c>
      <c r="E94" s="9">
        <v>8.0150961360901878</v>
      </c>
      <c r="F94" s="9">
        <v>873.07496763361075</v>
      </c>
      <c r="G94" s="9">
        <v>906.58253405245694</v>
      </c>
      <c r="H94" s="9">
        <v>1409.0348195453782</v>
      </c>
      <c r="I94" s="24"/>
      <c r="J94" s="9">
        <v>7.5824748112862252</v>
      </c>
      <c r="K94" s="9">
        <v>7.6767955783548949</v>
      </c>
      <c r="L94" s="22">
        <v>857.64900533782463</v>
      </c>
      <c r="M94" s="22">
        <v>868.3175685803609</v>
      </c>
      <c r="N94" s="22">
        <v>338.30282857126497</v>
      </c>
    </row>
    <row r="95" spans="2:29" x14ac:dyDescent="0.25">
      <c r="B95" s="37">
        <v>91</v>
      </c>
      <c r="D95" s="9">
        <v>7.7959378664813483</v>
      </c>
      <c r="E95" s="9">
        <v>8.0957886334475599</v>
      </c>
      <c r="F95" s="9">
        <v>872.10363819242707</v>
      </c>
      <c r="G95" s="9">
        <v>905.6468692012769</v>
      </c>
      <c r="H95" s="9">
        <v>1426.2071661089244</v>
      </c>
      <c r="I95" s="24"/>
      <c r="J95" s="9">
        <v>7.6562569491999746</v>
      </c>
      <c r="K95" s="9">
        <v>7.751616929033502</v>
      </c>
      <c r="L95" s="22">
        <v>856.47803441858355</v>
      </c>
      <c r="M95" s="22">
        <v>867.14561371117111</v>
      </c>
      <c r="N95" s="22">
        <v>342.03020090682304</v>
      </c>
    </row>
    <row r="96" spans="2:29" x14ac:dyDescent="0.25">
      <c r="B96" s="37">
        <v>92</v>
      </c>
      <c r="D96" s="9">
        <v>7.8719571320842139</v>
      </c>
      <c r="E96" s="9">
        <v>8.1751424420110297</v>
      </c>
      <c r="F96" s="9">
        <v>871.0358188914397</v>
      </c>
      <c r="G96" s="9">
        <v>904.58341833549798</v>
      </c>
      <c r="H96" s="9">
        <v>1442.0675526413261</v>
      </c>
      <c r="I96" s="24"/>
      <c r="J96" s="9">
        <v>7.7492548151455969</v>
      </c>
      <c r="K96" s="9">
        <v>7.8456858577825423</v>
      </c>
      <c r="L96" s="22">
        <v>857.45874887934622</v>
      </c>
      <c r="M96" s="22">
        <v>868.1288898341902</v>
      </c>
      <c r="N96" s="22">
        <v>345.8718106311199</v>
      </c>
    </row>
    <row r="97" spans="2:14" x14ac:dyDescent="0.25">
      <c r="B97" s="37">
        <v>93</v>
      </c>
      <c r="D97" s="9">
        <v>7.9480858724707071</v>
      </c>
      <c r="E97" s="9">
        <v>8.2546342203014227</v>
      </c>
      <c r="F97" s="9">
        <v>870.00294663150476</v>
      </c>
      <c r="G97" s="9">
        <v>903.55793964202155</v>
      </c>
      <c r="H97" s="9">
        <v>1458.0634722347959</v>
      </c>
      <c r="I97" s="24"/>
      <c r="J97" s="9">
        <v>7.8294245960297868</v>
      </c>
      <c r="K97" s="9">
        <v>7.9269029587141393</v>
      </c>
      <c r="L97" s="22">
        <v>857.01420169201845</v>
      </c>
      <c r="M97" s="22">
        <v>867.68425032120365</v>
      </c>
      <c r="N97" s="22">
        <v>349.62826157472142</v>
      </c>
    </row>
    <row r="98" spans="2:14" x14ac:dyDescent="0.25">
      <c r="B98" s="37">
        <v>94</v>
      </c>
      <c r="D98" s="9">
        <v>8.0246182687805767</v>
      </c>
      <c r="E98" s="9">
        <v>8.3346345159064814</v>
      </c>
      <c r="F98" s="9">
        <v>869.03576478473087</v>
      </c>
      <c r="G98" s="9">
        <v>902.60935014328948</v>
      </c>
      <c r="H98" s="9">
        <v>1474.5581534929966</v>
      </c>
      <c r="I98" s="24"/>
      <c r="J98" s="9">
        <v>7.9123750303973885</v>
      </c>
      <c r="K98" s="9">
        <v>8.0109099785949045</v>
      </c>
      <c r="L98" s="22">
        <v>856.88024719584598</v>
      </c>
      <c r="M98" s="22">
        <v>867.55120887859584</v>
      </c>
      <c r="N98" s="22">
        <v>353.41794521322748</v>
      </c>
    </row>
    <row r="99" spans="2:14" x14ac:dyDescent="0.25">
      <c r="B99" s="37">
        <v>95</v>
      </c>
      <c r="D99" s="9">
        <v>8.1006366665992893</v>
      </c>
      <c r="E99" s="9">
        <v>8.4139874566858062</v>
      </c>
      <c r="F99" s="9">
        <v>868.03386650904235</v>
      </c>
      <c r="G99" s="9">
        <v>901.61136283275425</v>
      </c>
      <c r="H99" s="9">
        <v>1490.418540025398</v>
      </c>
      <c r="I99" s="24"/>
      <c r="J99" s="9">
        <v>8.0016967956127907</v>
      </c>
      <c r="K99" s="9">
        <v>8.1012970156976287</v>
      </c>
      <c r="L99" s="22">
        <v>857.43184073020086</v>
      </c>
      <c r="M99" s="22">
        <v>868.10462704363601</v>
      </c>
      <c r="N99" s="22">
        <v>357.23878450320848</v>
      </c>
    </row>
    <row r="100" spans="2:14" x14ac:dyDescent="0.25">
      <c r="B100" s="37">
        <v>96</v>
      </c>
      <c r="D100" s="9">
        <v>8.1773353409709948</v>
      </c>
      <c r="E100" s="9">
        <v>8.4941973426664834</v>
      </c>
      <c r="F100" s="9">
        <v>867.12497766790409</v>
      </c>
      <c r="G100" s="9">
        <v>900.72503742910521</v>
      </c>
      <c r="H100" s="9">
        <v>1507.1192315364253</v>
      </c>
      <c r="I100" s="24"/>
      <c r="J100" s="9">
        <v>8.0833156138292956</v>
      </c>
      <c r="K100" s="9">
        <v>8.183968944877634</v>
      </c>
      <c r="L100" s="22">
        <v>857.15512191432947</v>
      </c>
      <c r="M100" s="22">
        <v>867.82840530044632</v>
      </c>
      <c r="N100" s="22">
        <v>361.01600588112598</v>
      </c>
    </row>
    <row r="101" spans="2:14" x14ac:dyDescent="0.25">
      <c r="B101" s="37">
        <v>97</v>
      </c>
      <c r="D101" s="9">
        <v>8.2531863346297758</v>
      </c>
      <c r="E101" s="9">
        <v>8.5733395669720824</v>
      </c>
      <c r="F101" s="9">
        <v>866.14586738644493</v>
      </c>
      <c r="G101" s="9">
        <v>899.74493905167242</v>
      </c>
      <c r="H101" s="9">
        <v>1522.7736078160026</v>
      </c>
      <c r="I101" s="24"/>
      <c r="J101" s="9">
        <v>8.163988584350804</v>
      </c>
      <c r="K101" s="9">
        <v>8.2656811281640081</v>
      </c>
      <c r="L101" s="22">
        <v>856.78484490957089</v>
      </c>
      <c r="M101" s="22">
        <v>867.4571565473492</v>
      </c>
      <c r="N101" s="22">
        <v>364.74337821668399</v>
      </c>
    </row>
    <row r="102" spans="2:14" x14ac:dyDescent="0.25">
      <c r="B102" s="37">
        <v>98</v>
      </c>
      <c r="D102" s="9">
        <v>8.3293136687922544</v>
      </c>
      <c r="E102" s="9">
        <v>8.6528299390384618</v>
      </c>
      <c r="F102" s="9">
        <v>865.21544408226134</v>
      </c>
      <c r="G102" s="9">
        <v>898.8210068644222</v>
      </c>
      <c r="H102" s="9">
        <v>1538.7695274094733</v>
      </c>
      <c r="I102" s="24"/>
      <c r="J102" s="9">
        <v>8.2549713271245171</v>
      </c>
      <c r="K102" s="9">
        <v>8.3577349337411366</v>
      </c>
      <c r="L102" s="22">
        <v>857.49306205681739</v>
      </c>
      <c r="M102" s="22">
        <v>868.16773023115024</v>
      </c>
      <c r="N102" s="22">
        <v>368.58498794098102</v>
      </c>
    </row>
    <row r="103" spans="2:14" x14ac:dyDescent="0.25">
      <c r="B103" s="37">
        <v>99</v>
      </c>
      <c r="D103" s="9">
        <v>8.4057129549203342</v>
      </c>
      <c r="E103" s="9">
        <v>8.7326629305297825</v>
      </c>
      <c r="F103" s="9">
        <v>864.33178113348515</v>
      </c>
      <c r="G103" s="9">
        <v>897.95097040102314</v>
      </c>
      <c r="H103" s="9">
        <v>1555.1015689943936</v>
      </c>
      <c r="I103" s="24"/>
      <c r="J103" s="9">
        <v>8.333037995986917</v>
      </c>
      <c r="K103" s="9">
        <v>8.4368489226509418</v>
      </c>
      <c r="L103" s="22">
        <v>856.85885444236419</v>
      </c>
      <c r="M103" s="22">
        <v>867.53339015704307</v>
      </c>
      <c r="N103" s="22">
        <v>372.34143888458232</v>
      </c>
    </row>
    <row r="104" spans="2:14" x14ac:dyDescent="0.25">
      <c r="B104" s="37">
        <v>100</v>
      </c>
      <c r="D104" s="9">
        <v>8.4824105389596554</v>
      </c>
      <c r="E104" s="9">
        <v>8.8128717261780753</v>
      </c>
      <c r="F104" s="9">
        <v>863.49615770561286</v>
      </c>
      <c r="G104" s="9">
        <v>897.13659094370257</v>
      </c>
      <c r="H104" s="9">
        <v>1571.8022605054205</v>
      </c>
      <c r="I104" s="24"/>
      <c r="J104" s="9">
        <v>8.4173464623986316</v>
      </c>
      <c r="K104" s="9">
        <v>8.5222139745758252</v>
      </c>
      <c r="L104" s="22">
        <v>856.87273623160354</v>
      </c>
      <c r="M104" s="22">
        <v>867.54808534577865</v>
      </c>
      <c r="N104" s="22">
        <v>376.13112252308832</v>
      </c>
    </row>
    <row r="105" spans="2:14" x14ac:dyDescent="0.25">
      <c r="B105" s="37">
        <v>101</v>
      </c>
      <c r="D105" s="9">
        <v>8.5578784780941763</v>
      </c>
      <c r="E105" s="9">
        <v>8.8915317335567821</v>
      </c>
      <c r="F105" s="9">
        <v>862.55314470929659</v>
      </c>
      <c r="G105" s="9">
        <v>896.1822346149828</v>
      </c>
      <c r="H105" s="9">
        <v>1586.9849817324771</v>
      </c>
      <c r="I105" s="24"/>
      <c r="J105" s="9">
        <v>8.5127992240628707</v>
      </c>
      <c r="K105" s="9">
        <v>8.6187377990434797</v>
      </c>
      <c r="L105" s="22">
        <v>858.00958260738298</v>
      </c>
      <c r="M105" s="22">
        <v>868.68718818795389</v>
      </c>
      <c r="N105" s="22">
        <v>379.97273224738541</v>
      </c>
    </row>
    <row r="106" spans="2:14" x14ac:dyDescent="0.25">
      <c r="B106" s="37">
        <v>102</v>
      </c>
      <c r="D106" s="9">
        <v>8.6349575251924673</v>
      </c>
      <c r="E106" s="9">
        <v>8.9722211546666877</v>
      </c>
      <c r="F106" s="9">
        <v>861.78941459221153</v>
      </c>
      <c r="G106" s="9">
        <v>895.44913149989316</v>
      </c>
      <c r="H106" s="9">
        <v>1604.1573282960233</v>
      </c>
      <c r="I106" s="24"/>
      <c r="J106" s="9">
        <v>8.5869176400280356</v>
      </c>
      <c r="K106" s="9">
        <v>8.6939035350560534</v>
      </c>
      <c r="L106" s="22">
        <v>856.99491914829673</v>
      </c>
      <c r="M106" s="22">
        <v>867.67236736698544</v>
      </c>
      <c r="N106" s="22">
        <v>383.72918319098682</v>
      </c>
    </row>
    <row r="107" spans="2:14" x14ac:dyDescent="0.25">
      <c r="B107" s="37">
        <v>103</v>
      </c>
      <c r="D107" s="9">
        <v>8.7116543288725694</v>
      </c>
      <c r="E107" s="9">
        <v>9.0524291699557562</v>
      </c>
      <c r="F107" s="9">
        <v>861.00273575550216</v>
      </c>
      <c r="G107" s="9">
        <v>894.68268440507654</v>
      </c>
      <c r="H107" s="9">
        <v>1620.8580198070499</v>
      </c>
      <c r="I107" s="24"/>
      <c r="J107" s="9">
        <v>8.6712197615267002</v>
      </c>
      <c r="K107" s="9">
        <v>8.779262242067885</v>
      </c>
      <c r="L107" s="22">
        <v>857.00644850745323</v>
      </c>
      <c r="M107" s="22">
        <v>867.68465815765296</v>
      </c>
      <c r="N107" s="22">
        <v>387.51886682949367</v>
      </c>
    </row>
    <row r="108" spans="2:14" x14ac:dyDescent="0.25">
      <c r="B108" s="37">
        <v>104</v>
      </c>
      <c r="D108" s="9">
        <v>8.7865507251740897</v>
      </c>
      <c r="E108" s="9">
        <v>9.1303694607963841</v>
      </c>
      <c r="F108" s="9">
        <v>860.05495587531379</v>
      </c>
      <c r="G108" s="9">
        <v>893.70900474428902</v>
      </c>
      <c r="H108" s="9">
        <v>1635.3359691165492</v>
      </c>
      <c r="I108" s="24"/>
      <c r="J108" s="9">
        <v>8.7625241500112594</v>
      </c>
      <c r="K108" s="9">
        <v>8.8716203206075583</v>
      </c>
      <c r="L108" s="22">
        <v>857.70315985343484</v>
      </c>
      <c r="M108" s="22">
        <v>868.38183287577783</v>
      </c>
      <c r="N108" s="22">
        <v>391.29816525084192</v>
      </c>
    </row>
    <row r="109" spans="2:14" x14ac:dyDescent="0.25">
      <c r="B109" s="37">
        <v>105</v>
      </c>
      <c r="D109" s="9">
        <v>8.8636290111660365</v>
      </c>
      <c r="E109" s="9">
        <v>9.2110581207999367</v>
      </c>
      <c r="F109" s="9">
        <v>859.33676510338478</v>
      </c>
      <c r="G109" s="9">
        <v>893.02032821274247</v>
      </c>
      <c r="H109" s="9">
        <v>1652.5083156800981</v>
      </c>
      <c r="I109" s="24"/>
      <c r="J109" s="9">
        <v>8.8402002400269666</v>
      </c>
      <c r="K109" s="9">
        <v>8.9503495215867694</v>
      </c>
      <c r="L109" s="22">
        <v>857.06532477396286</v>
      </c>
      <c r="M109" s="22">
        <v>867.74439619886357</v>
      </c>
      <c r="N109" s="22">
        <v>395.07538662875925</v>
      </c>
    </row>
    <row r="110" spans="2:14" x14ac:dyDescent="0.25">
      <c r="B110" s="37">
        <v>106</v>
      </c>
      <c r="D110" s="9">
        <v>8.9396445228579111</v>
      </c>
      <c r="E110" s="9">
        <v>9.2904081754524324</v>
      </c>
      <c r="F110" s="9">
        <v>858.53006022763054</v>
      </c>
      <c r="G110" s="9">
        <v>892.21609092131689</v>
      </c>
      <c r="H110" s="9">
        <v>1668.3687022124998</v>
      </c>
      <c r="I110" s="24"/>
      <c r="J110" s="9">
        <v>8.9293989580429987</v>
      </c>
      <c r="K110" s="9">
        <v>9.0406135114901236</v>
      </c>
      <c r="L110" s="22">
        <v>857.54611446165256</v>
      </c>
      <c r="M110" s="22">
        <v>868.22674466176989</v>
      </c>
      <c r="N110" s="22">
        <v>398.89622591874019</v>
      </c>
    </row>
    <row r="111" spans="2:14" x14ac:dyDescent="0.25">
      <c r="B111" s="37">
        <v>107</v>
      </c>
      <c r="D111" s="9">
        <v>9.0167223161477725</v>
      </c>
      <c r="E111" s="9">
        <v>9.3710963427538871</v>
      </c>
      <c r="F111" s="9">
        <v>857.83949806842293</v>
      </c>
      <c r="G111" s="9">
        <v>891.55419243888821</v>
      </c>
      <c r="H111" s="9">
        <v>1685.5410487760457</v>
      </c>
      <c r="I111" s="24"/>
      <c r="J111" s="9">
        <v>9.0097261751182831</v>
      </c>
      <c r="K111" s="9">
        <v>9.1219973140785715</v>
      </c>
      <c r="L111" s="22">
        <v>857.17389410517285</v>
      </c>
      <c r="M111" s="22">
        <v>867.85522753392718</v>
      </c>
      <c r="N111" s="22">
        <v>402.6859095572463</v>
      </c>
    </row>
    <row r="112" spans="2:14" x14ac:dyDescent="0.25">
      <c r="B112" s="37">
        <v>108</v>
      </c>
      <c r="D112" s="9">
        <v>9.0921885229538315</v>
      </c>
      <c r="E112" s="9">
        <v>9.4497546178041425</v>
      </c>
      <c r="F112" s="9">
        <v>857.00981947745811</v>
      </c>
      <c r="G112" s="9">
        <v>890.71321812843223</v>
      </c>
      <c r="H112" s="9">
        <v>1700.7237700031014</v>
      </c>
      <c r="I112" s="24"/>
      <c r="J112" s="9">
        <v>9.094500129906633</v>
      </c>
      <c r="K112" s="9">
        <v>9.2078185889143214</v>
      </c>
      <c r="L112" s="22">
        <v>857.22770649688403</v>
      </c>
      <c r="M112" s="22">
        <v>867.90885678896916</v>
      </c>
      <c r="N112" s="22">
        <v>406.44236050084777</v>
      </c>
    </row>
    <row r="113" spans="2:14" x14ac:dyDescent="0.25">
      <c r="B113" s="37">
        <v>109</v>
      </c>
      <c r="D113" s="9">
        <v>9.1688838570585247</v>
      </c>
      <c r="E113" s="9">
        <v>9.5299611635178092</v>
      </c>
      <c r="F113" s="9">
        <v>856.31015631126854</v>
      </c>
      <c r="G113" s="9">
        <v>890.03227228033199</v>
      </c>
      <c r="H113" s="9">
        <v>1717.4244615141292</v>
      </c>
      <c r="I113" s="24"/>
      <c r="J113" s="9">
        <v>9.183200173235166</v>
      </c>
      <c r="K113" s="9">
        <v>9.2975896950462751</v>
      </c>
      <c r="L113" s="22">
        <v>857.64720094332415</v>
      </c>
      <c r="M113" s="22">
        <v>868.3303888677774</v>
      </c>
      <c r="N113" s="22">
        <v>410.28397022514457</v>
      </c>
    </row>
    <row r="114" spans="2:14" x14ac:dyDescent="0.25">
      <c r="B114" s="37">
        <v>110</v>
      </c>
      <c r="D114" s="9">
        <v>9.2447096240582134</v>
      </c>
      <c r="E114" s="9">
        <v>9.6090724621756696</v>
      </c>
      <c r="F114" s="9">
        <v>855.54274104401122</v>
      </c>
      <c r="G114" s="9">
        <v>889.26234868277902</v>
      </c>
      <c r="H114" s="9">
        <v>1733.051731181492</v>
      </c>
      <c r="I114" s="24"/>
      <c r="J114" s="9">
        <v>9.2634439553881958</v>
      </c>
      <c r="K114" s="9">
        <v>9.3788726899641759</v>
      </c>
      <c r="L114" s="22">
        <v>857.27649167864115</v>
      </c>
      <c r="M114" s="22">
        <v>867.95873265648424</v>
      </c>
      <c r="N114" s="22">
        <v>414.0113425607027</v>
      </c>
    </row>
    <row r="115" spans="2:14" x14ac:dyDescent="0.25">
      <c r="B115" s="37">
        <v>111</v>
      </c>
      <c r="D115" s="9">
        <v>9.3214044920742527</v>
      </c>
      <c r="E115" s="9">
        <v>9.6892785418006753</v>
      </c>
      <c r="F115" s="9">
        <v>854.86885859904737</v>
      </c>
      <c r="G115" s="9">
        <v>888.60670028001221</v>
      </c>
      <c r="H115" s="9">
        <v>1749.7524226925193</v>
      </c>
      <c r="I115" s="24"/>
      <c r="J115" s="9">
        <v>9.3451278254987482</v>
      </c>
      <c r="K115" s="9">
        <v>9.4616096710382305</v>
      </c>
      <c r="L115" s="22">
        <v>857.04453276746335</v>
      </c>
      <c r="M115" s="22">
        <v>867.72711846884727</v>
      </c>
      <c r="N115" s="22">
        <v>417.78856393862026</v>
      </c>
    </row>
    <row r="116" spans="2:14" x14ac:dyDescent="0.25">
      <c r="B116" s="37">
        <v>112</v>
      </c>
      <c r="D116" s="9">
        <v>9.3979322895717647</v>
      </c>
      <c r="E116" s="9">
        <v>9.769274238593372</v>
      </c>
      <c r="F116" s="9">
        <v>854.19182448514994</v>
      </c>
      <c r="G116" s="9">
        <v>887.94363788080614</v>
      </c>
      <c r="H116" s="9">
        <v>1766.2471039507232</v>
      </c>
      <c r="I116" s="24"/>
      <c r="J116" s="9">
        <v>9.4325090329219616</v>
      </c>
      <c r="K116" s="9">
        <v>9.5500619412648593</v>
      </c>
      <c r="L116" s="22">
        <v>857.33455530901779</v>
      </c>
      <c r="M116" s="22">
        <v>868.01911124717617</v>
      </c>
      <c r="N116" s="22">
        <v>421.63017366291706</v>
      </c>
    </row>
    <row r="117" spans="2:14" x14ac:dyDescent="0.25">
      <c r="B117" s="37">
        <v>113</v>
      </c>
      <c r="D117" s="9">
        <v>9.4739461678727199</v>
      </c>
      <c r="E117" s="9">
        <v>9.8486226598549393</v>
      </c>
      <c r="F117" s="9">
        <v>853.4804757782789</v>
      </c>
      <c r="G117" s="9">
        <v>887.23399991422241</v>
      </c>
      <c r="H117" s="9">
        <v>1782.1074904831244</v>
      </c>
      <c r="I117" s="24"/>
      <c r="J117" s="9">
        <v>9.5172539985527074</v>
      </c>
      <c r="K117" s="9">
        <v>9.6358577014926681</v>
      </c>
      <c r="L117" s="22">
        <v>857.38195329131622</v>
      </c>
      <c r="M117" s="22">
        <v>868.06661869056995</v>
      </c>
      <c r="N117" s="22">
        <v>425.39908686710743</v>
      </c>
    </row>
    <row r="118" spans="2:14" x14ac:dyDescent="0.25">
      <c r="B118" s="37">
        <v>114</v>
      </c>
      <c r="D118" s="9">
        <v>9.5506403564505575</v>
      </c>
      <c r="E118" s="9">
        <v>9.928828060041754</v>
      </c>
      <c r="F118" s="9">
        <v>852.84235645634715</v>
      </c>
      <c r="G118" s="9">
        <v>886.61333727813974</v>
      </c>
      <c r="H118" s="9">
        <v>1798.8081819941517</v>
      </c>
      <c r="I118" s="24"/>
      <c r="J118" s="9">
        <v>9.6033256035122747</v>
      </c>
      <c r="K118" s="9">
        <v>9.7229968947059895</v>
      </c>
      <c r="L118" s="22">
        <v>857.54698447893327</v>
      </c>
      <c r="M118" s="22">
        <v>868.23325704000717</v>
      </c>
      <c r="N118" s="22">
        <v>429.22823433081504</v>
      </c>
    </row>
    <row r="119" spans="2:14" x14ac:dyDescent="0.25">
      <c r="B119" s="37">
        <v>115</v>
      </c>
      <c r="D119" s="9">
        <v>9.6264869530496195</v>
      </c>
      <c r="E119" s="9">
        <v>10.007965887287634</v>
      </c>
      <c r="F119" s="9">
        <v>852.14030569572287</v>
      </c>
      <c r="G119" s="9">
        <v>885.9089668099499</v>
      </c>
      <c r="H119" s="9">
        <v>1814.4625582737267</v>
      </c>
      <c r="I119" s="24"/>
      <c r="J119" s="9">
        <v>9.6867655160236481</v>
      </c>
      <c r="K119" s="9">
        <v>9.8074876018144401</v>
      </c>
      <c r="L119" s="22">
        <v>857.47618713721977</v>
      </c>
      <c r="M119" s="22">
        <v>868.16255232856304</v>
      </c>
      <c r="N119" s="22">
        <v>432.99714753500558</v>
      </c>
    </row>
    <row r="120" spans="2:14" x14ac:dyDescent="0.25">
      <c r="B120" s="37">
        <v>116</v>
      </c>
      <c r="D120" s="9">
        <v>9.7026099360071427</v>
      </c>
      <c r="E120" s="9">
        <v>10.087451908149053</v>
      </c>
      <c r="F120" s="9">
        <v>851.47461417238787</v>
      </c>
      <c r="G120" s="9">
        <v>885.24729718325648</v>
      </c>
      <c r="H120" s="9">
        <v>1830.4584778671972</v>
      </c>
      <c r="I120" s="24"/>
      <c r="J120" s="9">
        <v>9.7731252082532052</v>
      </c>
      <c r="K120" s="9">
        <v>9.8949038795571571</v>
      </c>
      <c r="L120" s="22">
        <v>857.66284235274134</v>
      </c>
      <c r="M120" s="22">
        <v>868.34980677229942</v>
      </c>
      <c r="N120" s="22">
        <v>436.78683117351147</v>
      </c>
    </row>
    <row r="121" spans="2:14" x14ac:dyDescent="0.25">
      <c r="B121" s="37">
        <v>117</v>
      </c>
      <c r="D121" s="9">
        <v>9.7786229419963355</v>
      </c>
      <c r="E121" s="9">
        <v>10.166799457098858</v>
      </c>
      <c r="F121" s="9">
        <v>850.81073320177904</v>
      </c>
      <c r="G121" s="9">
        <v>884.58489009330799</v>
      </c>
      <c r="H121" s="9">
        <v>1846.3188643995982</v>
      </c>
      <c r="I121" s="24"/>
      <c r="J121" s="9">
        <v>9.8570133504281117</v>
      </c>
      <c r="K121" s="9">
        <v>9.9798422372375164</v>
      </c>
      <c r="L121" s="22">
        <v>857.63126419775278</v>
      </c>
      <c r="M121" s="22">
        <v>868.31826336568804</v>
      </c>
      <c r="N121" s="22">
        <v>440.55366733427115</v>
      </c>
    </row>
    <row r="122" spans="2:14" x14ac:dyDescent="0.25">
      <c r="B122" s="37">
        <v>118</v>
      </c>
      <c r="D122" s="9">
        <v>9.8556982355890437</v>
      </c>
      <c r="E122" s="9">
        <v>10.247485124703179</v>
      </c>
      <c r="F122" s="9">
        <v>850.249747858251</v>
      </c>
      <c r="G122" s="9">
        <v>884.04914955670927</v>
      </c>
      <c r="H122" s="9">
        <v>1863.4912109631446</v>
      </c>
      <c r="I122" s="24"/>
      <c r="J122" s="9">
        <v>9.9374008340284998</v>
      </c>
      <c r="K122" s="9">
        <v>10.061286306351073</v>
      </c>
      <c r="L122" s="22">
        <v>857.29821992608095</v>
      </c>
      <c r="M122" s="22">
        <v>867.9858027931383</v>
      </c>
      <c r="N122" s="22">
        <v>444.34335097277813</v>
      </c>
    </row>
    <row r="123" spans="2:14" x14ac:dyDescent="0.25">
      <c r="B123" s="37">
        <v>119</v>
      </c>
      <c r="D123" s="9">
        <v>9.9318425331994717</v>
      </c>
      <c r="E123" s="9">
        <v>10.326998159206154</v>
      </c>
      <c r="F123" s="9">
        <v>849.6185488748182</v>
      </c>
      <c r="G123" s="9">
        <v>883.42210027278463</v>
      </c>
      <c r="H123" s="9">
        <v>1879.5142371688294</v>
      </c>
      <c r="I123" s="24"/>
      <c r="J123" s="9">
        <v>10.020843404843479</v>
      </c>
      <c r="K123" s="9">
        <v>10.145779671763119</v>
      </c>
      <c r="L123" s="22">
        <v>857.23212018970855</v>
      </c>
      <c r="M123" s="22">
        <v>867.91978156243727</v>
      </c>
      <c r="N123" s="22">
        <v>448.11226417696821</v>
      </c>
    </row>
    <row r="124" spans="2:14" x14ac:dyDescent="0.25">
      <c r="B124" s="37">
        <v>120</v>
      </c>
      <c r="D124" s="9">
        <v>10.008236880448568</v>
      </c>
      <c r="E124" s="9">
        <v>10.406826211818496</v>
      </c>
      <c r="F124" s="9">
        <v>849.01908209366093</v>
      </c>
      <c r="G124" s="9">
        <v>882.83222543693239</v>
      </c>
      <c r="H124" s="9">
        <v>1895.8462787537499</v>
      </c>
      <c r="I124" s="24"/>
      <c r="J124" s="9">
        <v>10.106904561593034</v>
      </c>
      <c r="K124" s="9">
        <v>10.232908416766437</v>
      </c>
      <c r="L124" s="22">
        <v>857.38926208422799</v>
      </c>
      <c r="M124" s="22">
        <v>868.0784252942409</v>
      </c>
      <c r="N124" s="22">
        <v>451.94141164067588</v>
      </c>
    </row>
    <row r="125" spans="2:14" x14ac:dyDescent="0.25">
      <c r="B125" s="37">
        <v>121</v>
      </c>
      <c r="D125" s="9">
        <v>10.084929573174067</v>
      </c>
      <c r="E125" s="9">
        <v>10.487030116152964</v>
      </c>
      <c r="F125" s="9">
        <v>848.45462394028129</v>
      </c>
      <c r="G125" s="9">
        <v>882.28372135776249</v>
      </c>
      <c r="H125" s="9">
        <v>1912.5469702647774</v>
      </c>
      <c r="I125" s="24"/>
      <c r="J125" s="9">
        <v>10.191186292340216</v>
      </c>
      <c r="K125" s="9">
        <v>10.318246733026774</v>
      </c>
      <c r="L125" s="22">
        <v>857.39410180644836</v>
      </c>
      <c r="M125" s="22">
        <v>868.08381635905789</v>
      </c>
      <c r="N125" s="22">
        <v>455.73109527918263</v>
      </c>
    </row>
    <row r="126" spans="2:14" x14ac:dyDescent="0.25">
      <c r="B126" s="37">
        <v>122</v>
      </c>
      <c r="D126" s="9">
        <v>10.160370780809936</v>
      </c>
      <c r="E126" s="9">
        <v>10.565657693044361</v>
      </c>
      <c r="F126" s="9">
        <v>847.79499360136356</v>
      </c>
      <c r="G126" s="9">
        <v>881.61267826829146</v>
      </c>
      <c r="H126" s="9">
        <v>1927.7025848796179</v>
      </c>
      <c r="I126" s="24"/>
      <c r="J126" s="9">
        <v>10.282288459328567</v>
      </c>
      <c r="K126" s="9">
        <v>10.410414171902447</v>
      </c>
      <c r="L126" s="22">
        <v>857.96796855566492</v>
      </c>
      <c r="M126" s="22">
        <v>868.65895021520271</v>
      </c>
      <c r="N126" s="22">
        <v>459.55193456916328</v>
      </c>
    </row>
    <row r="127" spans="2:14" x14ac:dyDescent="0.25">
      <c r="B127" s="37">
        <v>123</v>
      </c>
      <c r="D127" s="9">
        <v>10.23689623106814</v>
      </c>
      <c r="E127" s="9">
        <v>10.645651042597745</v>
      </c>
      <c r="F127" s="9">
        <v>847.23582408682068</v>
      </c>
      <c r="G127" s="9">
        <v>881.06558183553273</v>
      </c>
      <c r="H127" s="9">
        <v>1944.1972661378215</v>
      </c>
      <c r="I127" s="24"/>
      <c r="J127" s="9">
        <v>10.36012783906172</v>
      </c>
      <c r="K127" s="9">
        <v>10.489295080766906</v>
      </c>
      <c r="L127" s="22">
        <v>857.43483661906862</v>
      </c>
      <c r="M127" s="22">
        <v>868.12509976142508</v>
      </c>
      <c r="N127" s="22">
        <v>463.28761507844808</v>
      </c>
    </row>
    <row r="128" spans="2:14" x14ac:dyDescent="0.25">
      <c r="B128" s="37">
        <v>124</v>
      </c>
      <c r="D128" s="9">
        <v>10.312907799930413</v>
      </c>
      <c r="E128" s="9">
        <v>10.724997154420629</v>
      </c>
      <c r="F128" s="9">
        <v>846.64348607711474</v>
      </c>
      <c r="G128" s="9">
        <v>880.47417422340266</v>
      </c>
      <c r="H128" s="9">
        <v>1960.057652670223</v>
      </c>
      <c r="I128" s="24"/>
      <c r="J128" s="9">
        <v>10.444861126061019</v>
      </c>
      <c r="K128" s="9">
        <v>10.575079162363265</v>
      </c>
      <c r="L128" s="22">
        <v>857.47626245813126</v>
      </c>
      <c r="M128" s="22">
        <v>868.16657932548401</v>
      </c>
      <c r="N128" s="22">
        <v>467.05652828263823</v>
      </c>
    </row>
    <row r="129" spans="2:14" x14ac:dyDescent="0.25">
      <c r="B129" s="37">
        <v>125</v>
      </c>
      <c r="D129" s="9">
        <v>10.389981656726</v>
      </c>
      <c r="E129" s="9">
        <v>10.805681385227837</v>
      </c>
      <c r="F129" s="9">
        <v>846.1471368788574</v>
      </c>
      <c r="G129" s="9">
        <v>880.00120387284915</v>
      </c>
      <c r="H129" s="9">
        <v>1977.2299992337691</v>
      </c>
      <c r="I129" s="24"/>
      <c r="J129" s="9">
        <v>10.529589443874604</v>
      </c>
      <c r="K129" s="9">
        <v>10.660878542980271</v>
      </c>
      <c r="L129" s="22">
        <v>857.51662079948721</v>
      </c>
      <c r="M129" s="22">
        <v>868.20864114966253</v>
      </c>
      <c r="N129" s="22">
        <v>470.89813800693582</v>
      </c>
    </row>
    <row r="130" spans="2:14" x14ac:dyDescent="0.25">
      <c r="B130" s="37">
        <v>126</v>
      </c>
      <c r="D130" s="9">
        <v>10.466673348716155</v>
      </c>
      <c r="E130" s="9">
        <v>10.885884288826963</v>
      </c>
      <c r="F130" s="9">
        <v>845.62779022271616</v>
      </c>
      <c r="G130" s="9">
        <v>879.49685340185636</v>
      </c>
      <c r="H130" s="9">
        <v>1993.9306907447965</v>
      </c>
      <c r="I130" s="24"/>
      <c r="J130" s="9">
        <v>10.607933073684604</v>
      </c>
      <c r="K130" s="9">
        <v>10.74026949283768</v>
      </c>
      <c r="L130" s="22">
        <v>857.04050418566703</v>
      </c>
      <c r="M130" s="22">
        <v>867.73228274471887</v>
      </c>
      <c r="N130" s="22">
        <v>474.65458895053672</v>
      </c>
    </row>
    <row r="131" spans="2:14" x14ac:dyDescent="0.25">
      <c r="B131" s="37">
        <v>127</v>
      </c>
      <c r="D131" s="9">
        <v>10.542135531052608</v>
      </c>
      <c r="E131" s="9">
        <v>10.9645385394076</v>
      </c>
      <c r="F131" s="9">
        <v>845.01806936877006</v>
      </c>
      <c r="G131" s="9">
        <v>878.87631123677761</v>
      </c>
      <c r="H131" s="9">
        <v>2009.1134119718531</v>
      </c>
      <c r="I131" s="24"/>
      <c r="J131" s="9">
        <v>10.702900426140294</v>
      </c>
      <c r="K131" s="9">
        <v>10.836307908096789</v>
      </c>
      <c r="L131" s="22">
        <v>857.90438076830719</v>
      </c>
      <c r="M131" s="22">
        <v>868.59782447429711</v>
      </c>
      <c r="N131" s="22">
        <v>478.49619867483364</v>
      </c>
    </row>
    <row r="132" spans="2:14" x14ac:dyDescent="0.25">
      <c r="B132" s="37">
        <v>128</v>
      </c>
      <c r="D132" s="9">
        <v>10.618638051001788</v>
      </c>
      <c r="E132" s="9">
        <v>11.044503259663301</v>
      </c>
      <c r="F132" s="9">
        <v>844.50061348576878</v>
      </c>
      <c r="G132" s="9">
        <v>878.36968673692479</v>
      </c>
      <c r="H132" s="9">
        <v>2025.5809866178442</v>
      </c>
      <c r="I132" s="24"/>
      <c r="J132" s="9">
        <v>10.785382460874903</v>
      </c>
      <c r="K132" s="9">
        <v>10.919846528344559</v>
      </c>
      <c r="L132" s="22">
        <v>857.76180157381009</v>
      </c>
      <c r="M132" s="22">
        <v>868.45573302947389</v>
      </c>
      <c r="N132" s="22">
        <v>482.28588231334038</v>
      </c>
    </row>
    <row r="133" spans="2:14" x14ac:dyDescent="0.25">
      <c r="B133" s="37">
        <v>129</v>
      </c>
      <c r="D133" s="9">
        <v>10.694648656974239</v>
      </c>
      <c r="E133" s="9">
        <v>11.123848408596364</v>
      </c>
      <c r="F133" s="9">
        <v>843.95236151157815</v>
      </c>
      <c r="G133" s="9">
        <v>877.82202432705185</v>
      </c>
      <c r="H133" s="9">
        <v>2041.4413731502432</v>
      </c>
      <c r="I133" s="24"/>
      <c r="J133" s="9">
        <v>10.867588194888432</v>
      </c>
      <c r="K133" s="9">
        <v>11.00309958240549</v>
      </c>
      <c r="L133" s="22">
        <v>857.59962904721851</v>
      </c>
      <c r="M133" s="22">
        <v>868.29330952003613</v>
      </c>
      <c r="N133" s="22">
        <v>486.04233325694122</v>
      </c>
    </row>
    <row r="134" spans="2:14" x14ac:dyDescent="0.25">
      <c r="B134" s="37">
        <v>130</v>
      </c>
      <c r="D134" s="9">
        <v>10.771721549802868</v>
      </c>
      <c r="E134" s="9">
        <v>11.204531675436606</v>
      </c>
      <c r="F134" s="9">
        <v>843.49572814042494</v>
      </c>
      <c r="G134" s="9">
        <v>877.38757081200413</v>
      </c>
      <c r="H134" s="9">
        <v>2058.6137197137919</v>
      </c>
      <c r="I134" s="24"/>
      <c r="J134" s="9">
        <v>10.949725847108196</v>
      </c>
      <c r="K134" s="9">
        <v>11.086296715596475</v>
      </c>
      <c r="L134" s="22">
        <v>857.43462023612994</v>
      </c>
      <c r="M134" s="22">
        <v>868.12900586666069</v>
      </c>
      <c r="N134" s="22">
        <v>489.84240211260601</v>
      </c>
    </row>
    <row r="135" spans="2:14" x14ac:dyDescent="0.25">
      <c r="B135" s="37">
        <v>131</v>
      </c>
      <c r="D135" s="9">
        <v>10.84786349462926</v>
      </c>
      <c r="E135" s="9">
        <v>11.28404235715556</v>
      </c>
      <c r="F135" s="9">
        <v>842.97372348176032</v>
      </c>
      <c r="G135" s="9">
        <v>876.86863007141949</v>
      </c>
      <c r="H135" s="9">
        <v>2074.6367459194735</v>
      </c>
      <c r="I135" s="24"/>
      <c r="J135" s="9">
        <v>11.033178667234621</v>
      </c>
      <c r="K135" s="9">
        <v>11.170800330319958</v>
      </c>
      <c r="L135" s="22">
        <v>857.37433067470181</v>
      </c>
      <c r="M135" s="22">
        <v>868.06873569005211</v>
      </c>
      <c r="N135" s="22">
        <v>493.61131531679609</v>
      </c>
    </row>
    <row r="136" spans="2:14" x14ac:dyDescent="0.25">
      <c r="B136" s="37">
        <v>132</v>
      </c>
      <c r="D136" s="9">
        <v>10.924255507394692</v>
      </c>
      <c r="E136" s="9">
        <v>11.363868075284229</v>
      </c>
      <c r="F136" s="9">
        <v>842.47891323156898</v>
      </c>
      <c r="G136" s="9">
        <v>876.3818476867192</v>
      </c>
      <c r="H136" s="9">
        <v>2090.9687875043946</v>
      </c>
      <c r="I136" s="24"/>
      <c r="J136" s="9">
        <v>11.114936216530278</v>
      </c>
      <c r="K136" s="9">
        <v>11.253610990579128</v>
      </c>
      <c r="L136" s="22">
        <v>857.18421525403005</v>
      </c>
      <c r="M136" s="22">
        <v>867.87881799874117</v>
      </c>
      <c r="N136" s="22">
        <v>497.38853669471365</v>
      </c>
    </row>
    <row r="137" spans="2:14" x14ac:dyDescent="0.25">
      <c r="B137" s="37">
        <v>133</v>
      </c>
      <c r="D137" s="9">
        <v>11.000945882255694</v>
      </c>
      <c r="E137" s="9">
        <v>11.444069661754204</v>
      </c>
      <c r="F137" s="9">
        <v>842.01438042558561</v>
      </c>
      <c r="G137" s="9">
        <v>875.93115436846188</v>
      </c>
      <c r="H137" s="9">
        <v>2107.669479015422</v>
      </c>
      <c r="I137" s="24"/>
      <c r="J137" s="9">
        <v>11.200115676074097</v>
      </c>
      <c r="K137" s="9">
        <v>11.339855722010263</v>
      </c>
      <c r="L137" s="22">
        <v>857.25887233895799</v>
      </c>
      <c r="M137" s="22">
        <v>867.95460063895553</v>
      </c>
      <c r="N137" s="22">
        <v>501.20937598469442</v>
      </c>
    </row>
    <row r="138" spans="2:14" x14ac:dyDescent="0.25">
      <c r="B138" s="37">
        <v>134</v>
      </c>
      <c r="D138" s="9">
        <v>11.076406778199907</v>
      </c>
      <c r="E138" s="9">
        <v>11.522722625942604</v>
      </c>
      <c r="F138" s="9">
        <v>841.46337867986711</v>
      </c>
      <c r="G138" s="9">
        <v>875.36954055350805</v>
      </c>
      <c r="H138" s="9">
        <v>2122.8522002424806</v>
      </c>
      <c r="I138" s="24"/>
      <c r="J138" s="9">
        <v>11.290730703175329</v>
      </c>
      <c r="K138" s="9">
        <v>11.431527334624656</v>
      </c>
      <c r="L138" s="22">
        <v>857.74534968843443</v>
      </c>
      <c r="M138" s="22">
        <v>868.44152684935921</v>
      </c>
      <c r="N138" s="22">
        <v>504.99905962320128</v>
      </c>
    </row>
    <row r="139" spans="2:14" x14ac:dyDescent="0.25">
      <c r="B139" s="37">
        <v>135</v>
      </c>
      <c r="D139" s="9">
        <v>11.152908009555302</v>
      </c>
      <c r="E139" s="9">
        <v>11.602686057604531</v>
      </c>
      <c r="F139" s="9">
        <v>840.99898771676374</v>
      </c>
      <c r="G139" s="9">
        <v>874.91506438327485</v>
      </c>
      <c r="H139" s="9">
        <v>2139.3197748884695</v>
      </c>
      <c r="I139" s="24"/>
      <c r="J139" s="9">
        <v>11.374961237447067</v>
      </c>
      <c r="K139" s="9">
        <v>11.516825457150162</v>
      </c>
      <c r="L139" s="22">
        <v>857.7431892932691</v>
      </c>
      <c r="M139" s="22">
        <v>868.44063834075632</v>
      </c>
      <c r="N139" s="22">
        <v>508.82820708690832</v>
      </c>
    </row>
    <row r="140" spans="2:14" x14ac:dyDescent="0.25">
      <c r="B140" s="37">
        <v>136</v>
      </c>
      <c r="D140" s="9">
        <v>11.22891734655477</v>
      </c>
      <c r="E140" s="9">
        <v>11.682029937564606</v>
      </c>
      <c r="F140" s="9">
        <v>840.50460685758264</v>
      </c>
      <c r="G140" s="9">
        <v>874.42089712984045</v>
      </c>
      <c r="H140" s="9">
        <v>2155.1801614208707</v>
      </c>
      <c r="I140" s="24"/>
      <c r="J140" s="9">
        <v>11.457120102182415</v>
      </c>
      <c r="K140" s="9">
        <v>11.600023534650363</v>
      </c>
      <c r="L140" s="22">
        <v>857.58599248746975</v>
      </c>
      <c r="M140" s="22">
        <v>868.28257076105763</v>
      </c>
      <c r="N140" s="22">
        <v>512.55557942246685</v>
      </c>
    </row>
    <row r="141" spans="2:14" x14ac:dyDescent="0.25">
      <c r="B141" s="37">
        <v>137</v>
      </c>
      <c r="D141" s="9">
        <v>11.306274338228015</v>
      </c>
      <c r="E141" s="9">
        <v>11.763071390102002</v>
      </c>
      <c r="F141" s="9">
        <v>840.11758129783254</v>
      </c>
      <c r="G141" s="9">
        <v>874.06008285794428</v>
      </c>
      <c r="H141" s="9">
        <v>2172.7048939431952</v>
      </c>
      <c r="I141" s="24"/>
      <c r="J141" s="9">
        <v>11.532549059905378</v>
      </c>
      <c r="K141" s="9">
        <v>11.676509077886488</v>
      </c>
      <c r="L141" s="22">
        <v>856.9310218882207</v>
      </c>
      <c r="M141" s="22">
        <v>867.62803298947767</v>
      </c>
      <c r="N141" s="22">
        <v>516.34526306097382</v>
      </c>
    </row>
    <row r="142" spans="2:14" x14ac:dyDescent="0.25">
      <c r="B142" s="37">
        <v>138</v>
      </c>
      <c r="D142" s="9">
        <v>11.382415035979077</v>
      </c>
      <c r="E142" s="9">
        <v>11.842580824745616</v>
      </c>
      <c r="F142" s="9">
        <v>839.64644246830551</v>
      </c>
      <c r="G142" s="9">
        <v>873.59148543696676</v>
      </c>
      <c r="H142" s="9">
        <v>2188.7279201488773</v>
      </c>
      <c r="I142" s="24"/>
      <c r="J142" s="9">
        <v>11.617745237419328</v>
      </c>
      <c r="K142" s="9">
        <v>11.762767052738107</v>
      </c>
      <c r="L142" s="22">
        <v>857.00604197509494</v>
      </c>
      <c r="M142" s="22">
        <v>867.70386409173818</v>
      </c>
      <c r="N142" s="22">
        <v>520.153640090365</v>
      </c>
    </row>
    <row r="143" spans="2:14" x14ac:dyDescent="0.25">
      <c r="B143" s="37">
        <v>139</v>
      </c>
      <c r="D143" s="9">
        <v>11.458423853600522</v>
      </c>
      <c r="E143" s="9">
        <v>11.92192418532767</v>
      </c>
      <c r="F143" s="9">
        <v>839.17242420364812</v>
      </c>
      <c r="G143" s="9">
        <v>873.11746777719736</v>
      </c>
      <c r="H143" s="9">
        <v>2204.5883066812789</v>
      </c>
      <c r="I143" s="24"/>
      <c r="J143" s="9">
        <v>11.705809463448894</v>
      </c>
      <c r="K143" s="9">
        <v>11.85188786428084</v>
      </c>
      <c r="L143" s="22">
        <v>857.29002786205376</v>
      </c>
      <c r="M143" s="22">
        <v>867.98826763011914</v>
      </c>
      <c r="N143" s="22">
        <v>523.94332372887129</v>
      </c>
    </row>
    <row r="144" spans="2:14" x14ac:dyDescent="0.25">
      <c r="B144" s="37">
        <v>140</v>
      </c>
      <c r="D144" s="9">
        <v>11.535780322262422</v>
      </c>
      <c r="E144" s="9">
        <v>12.002965114853719</v>
      </c>
      <c r="F144" s="9">
        <v>838.803169609321</v>
      </c>
      <c r="G144" s="9">
        <v>872.77365741954645</v>
      </c>
      <c r="H144" s="9">
        <v>2222.1130392036066</v>
      </c>
      <c r="I144" s="24"/>
      <c r="J144" s="9">
        <v>11.782173936635212</v>
      </c>
      <c r="K144" s="9">
        <v>11.929317609354481</v>
      </c>
      <c r="L144" s="22">
        <v>856.71923067616888</v>
      </c>
      <c r="M144" s="22">
        <v>867.41851374301837</v>
      </c>
      <c r="N144" s="22">
        <v>527.7641630188524</v>
      </c>
    </row>
    <row r="145" spans="2:14" x14ac:dyDescent="0.25">
      <c r="B145" s="37">
        <v>141</v>
      </c>
      <c r="D145" s="9">
        <v>11.611218063878773</v>
      </c>
      <c r="E145" s="9">
        <v>12.081589225725601</v>
      </c>
      <c r="F145" s="9">
        <v>838.30062542098869</v>
      </c>
      <c r="G145" s="9">
        <v>872.26023560029068</v>
      </c>
      <c r="H145" s="9">
        <v>2237.2686538184489</v>
      </c>
      <c r="I145" s="24"/>
      <c r="J145" s="9">
        <v>11.86974375817787</v>
      </c>
      <c r="K145" s="9">
        <v>12.017940541860645</v>
      </c>
      <c r="L145" s="22">
        <v>856.96552776164219</v>
      </c>
      <c r="M145" s="22">
        <v>867.66496134071906</v>
      </c>
      <c r="N145" s="22">
        <v>531.5413843967691</v>
      </c>
    </row>
    <row r="146" spans="2:14" x14ac:dyDescent="0.25">
      <c r="B146" s="37">
        <v>142</v>
      </c>
      <c r="D146" s="9">
        <v>11.687740039876838</v>
      </c>
      <c r="E146" s="9">
        <v>12.161579101018843</v>
      </c>
      <c r="F146" s="9">
        <v>837.88288704398485</v>
      </c>
      <c r="G146" s="9">
        <v>871.8519554172799</v>
      </c>
      <c r="H146" s="9">
        <v>2253.7633350766505</v>
      </c>
      <c r="I146" s="24"/>
      <c r="J146" s="9">
        <v>11.952772814375917</v>
      </c>
      <c r="K146" s="9">
        <v>12.102026183571843</v>
      </c>
      <c r="L146" s="22">
        <v>856.88283275640731</v>
      </c>
      <c r="M146" s="22">
        <v>867.58266381495662</v>
      </c>
      <c r="N146" s="22">
        <v>535.33106803527517</v>
      </c>
    </row>
    <row r="147" spans="2:14" x14ac:dyDescent="0.25">
      <c r="B147" s="37">
        <v>143</v>
      </c>
      <c r="D147" s="9">
        <v>11.764714046733211</v>
      </c>
      <c r="E147" s="9">
        <v>12.242138406336734</v>
      </c>
      <c r="F147" s="9">
        <v>837.50317020796695</v>
      </c>
      <c r="G147" s="9">
        <v>871.48992187181102</v>
      </c>
      <c r="H147" s="9">
        <v>2270.8164125464582</v>
      </c>
      <c r="I147" s="24"/>
      <c r="J147" s="9">
        <v>12.030375761312493</v>
      </c>
      <c r="K147" s="9">
        <v>12.180682820563543</v>
      </c>
      <c r="L147" s="22">
        <v>856.41502197752311</v>
      </c>
      <c r="M147" s="22">
        <v>867.11503883533578</v>
      </c>
      <c r="N147" s="22">
        <v>539.11036645662409</v>
      </c>
    </row>
    <row r="148" spans="2:14" x14ac:dyDescent="0.25">
      <c r="B148" s="37">
        <v>144</v>
      </c>
      <c r="D148" s="9">
        <v>11.841103982522545</v>
      </c>
      <c r="E148" s="9">
        <v>12.321962047489315</v>
      </c>
      <c r="F148" s="9">
        <v>837.08743727016122</v>
      </c>
      <c r="G148" s="9">
        <v>871.08090999769081</v>
      </c>
      <c r="H148" s="9">
        <v>2287.1484541313785</v>
      </c>
      <c r="I148" s="24"/>
      <c r="J148" s="9">
        <v>12.114671194162703</v>
      </c>
      <c r="K148" s="9">
        <v>12.26603483892692</v>
      </c>
      <c r="L148" s="22">
        <v>856.42682289256663</v>
      </c>
      <c r="M148" s="22">
        <v>867.12722765875776</v>
      </c>
      <c r="N148" s="22">
        <v>542.90005009513163</v>
      </c>
    </row>
    <row r="149" spans="2:14" x14ac:dyDescent="0.25">
      <c r="B149" s="37">
        <v>145</v>
      </c>
      <c r="D149" s="9">
        <v>11.917792292061469</v>
      </c>
      <c r="E149" s="9">
        <v>12.402161568637204</v>
      </c>
      <c r="F149" s="9">
        <v>836.69838615367257</v>
      </c>
      <c r="G149" s="9">
        <v>870.70392863013399</v>
      </c>
      <c r="H149" s="9">
        <v>2303.8491456424053</v>
      </c>
      <c r="I149" s="24"/>
      <c r="J149" s="9">
        <v>12.197360164394542</v>
      </c>
      <c r="K149" s="9">
        <v>12.34978560649642</v>
      </c>
      <c r="L149" s="22">
        <v>856.32567801017785</v>
      </c>
      <c r="M149" s="22">
        <v>867.02683123470183</v>
      </c>
      <c r="N149" s="22">
        <v>546.70842712452315</v>
      </c>
    </row>
    <row r="150" spans="2:14" x14ac:dyDescent="0.25">
      <c r="B150" s="37">
        <v>146</v>
      </c>
      <c r="D150" s="9">
        <v>11.993251171944266</v>
      </c>
      <c r="E150" s="9">
        <v>12.4808125167642</v>
      </c>
      <c r="F150" s="9">
        <v>836.22894257254177</v>
      </c>
      <c r="G150" s="9">
        <v>870.22413720098245</v>
      </c>
      <c r="H150" s="9">
        <v>2319.0318668694626</v>
      </c>
      <c r="I150" s="24"/>
      <c r="J150" s="9">
        <v>12.287902671142712</v>
      </c>
      <c r="K150" s="9">
        <v>12.441384698757751</v>
      </c>
      <c r="L150" s="22">
        <v>856.77350618332673</v>
      </c>
      <c r="M150" s="22">
        <v>867.47503421908175</v>
      </c>
      <c r="N150" s="22">
        <v>550.49811076302922</v>
      </c>
    </row>
    <row r="151" spans="2:14" x14ac:dyDescent="0.25">
      <c r="B151" s="37">
        <v>147</v>
      </c>
      <c r="D151" s="9">
        <v>12.070035744703187</v>
      </c>
      <c r="E151" s="9">
        <v>12.561133376682186</v>
      </c>
      <c r="F151" s="9">
        <v>835.85769105802683</v>
      </c>
      <c r="G151" s="9">
        <v>869.86651600539028</v>
      </c>
      <c r="H151" s="9">
        <v>2335.85182747423</v>
      </c>
      <c r="I151" s="24"/>
      <c r="J151" s="9">
        <v>12.366341339955351</v>
      </c>
      <c r="K151" s="9">
        <v>12.520888639457702</v>
      </c>
      <c r="L151" s="22">
        <v>856.37704294178036</v>
      </c>
      <c r="M151" s="22">
        <v>867.07954222625665</v>
      </c>
      <c r="N151" s="22">
        <v>554.31895005301021</v>
      </c>
    </row>
    <row r="152" spans="2:14" x14ac:dyDescent="0.25">
      <c r="B152" s="37">
        <v>148</v>
      </c>
      <c r="D152" s="9">
        <v>12.146723572051711</v>
      </c>
      <c r="E152" s="9">
        <v>12.641332415639695</v>
      </c>
      <c r="F152" s="9">
        <v>835.48480204247448</v>
      </c>
      <c r="G152" s="9">
        <v>869.50534835048302</v>
      </c>
      <c r="H152" s="9">
        <v>2352.5525189852578</v>
      </c>
      <c r="I152" s="24"/>
      <c r="J152" s="9">
        <v>12.448148617080975</v>
      </c>
      <c r="K152" s="9">
        <v>12.603749027546833</v>
      </c>
      <c r="L152" s="22">
        <v>856.21763938606614</v>
      </c>
      <c r="M152" s="22">
        <v>866.92026033274794</v>
      </c>
      <c r="N152" s="22">
        <v>558.09617143092726</v>
      </c>
    </row>
    <row r="153" spans="2:14" x14ac:dyDescent="0.25">
      <c r="B153" s="37">
        <v>149</v>
      </c>
      <c r="D153" s="9">
        <v>12.223112706235488</v>
      </c>
      <c r="E153" s="9">
        <v>12.721155255186714</v>
      </c>
      <c r="F153" s="9">
        <v>835.0965112028905</v>
      </c>
      <c r="G153" s="9">
        <v>869.12332622584199</v>
      </c>
      <c r="H153" s="9">
        <v>2368.8845605701777</v>
      </c>
      <c r="I153" s="24"/>
      <c r="J153" s="9">
        <v>12.532446244804136</v>
      </c>
      <c r="K153" s="9">
        <v>12.68910324078316</v>
      </c>
      <c r="L153" s="22">
        <v>856.23051896876359</v>
      </c>
      <c r="M153" s="22">
        <v>866.93349732965771</v>
      </c>
      <c r="N153" s="22">
        <v>561.88585506943298</v>
      </c>
    </row>
    <row r="154" spans="2:14" x14ac:dyDescent="0.25">
      <c r="B154" s="37">
        <v>150</v>
      </c>
      <c r="D154" s="9">
        <v>12.299536805784408</v>
      </c>
      <c r="E154" s="9">
        <v>12.801022178480718</v>
      </c>
      <c r="F154" s="9">
        <v>834.71577052091072</v>
      </c>
      <c r="G154" s="9">
        <v>868.7493895006354</v>
      </c>
      <c r="H154" s="9">
        <v>2385.2599727346424</v>
      </c>
      <c r="I154" s="24"/>
      <c r="J154" s="9">
        <v>12.612594691029619</v>
      </c>
      <c r="K154" s="9">
        <v>12.770305377063764</v>
      </c>
      <c r="L154" s="22">
        <v>855.9616400220458</v>
      </c>
      <c r="M154" s="22">
        <v>866.66477452955519</v>
      </c>
      <c r="N154" s="22">
        <v>565.66515349078179</v>
      </c>
    </row>
    <row r="155" spans="2:14" x14ac:dyDescent="0.25">
      <c r="B155" s="37">
        <v>151</v>
      </c>
      <c r="D155" s="9">
        <v>12.375925628689217</v>
      </c>
      <c r="E155" s="9">
        <v>12.880844706748773</v>
      </c>
      <c r="F155" s="9">
        <v>834.33769454509718</v>
      </c>
      <c r="G155" s="9">
        <v>868.37741263644318</v>
      </c>
      <c r="H155" s="9">
        <v>2401.5920143195622</v>
      </c>
      <c r="I155" s="24"/>
      <c r="J155" s="9">
        <v>12.694408241467967</v>
      </c>
      <c r="K155" s="9">
        <v>12.853172038465608</v>
      </c>
      <c r="L155" s="22">
        <v>855.80857735991776</v>
      </c>
      <c r="M155" s="22">
        <v>866.51182690572705</v>
      </c>
      <c r="N155" s="22">
        <v>569.44237486869997</v>
      </c>
    </row>
    <row r="156" spans="2:14" x14ac:dyDescent="0.25">
      <c r="B156" s="37">
        <v>152</v>
      </c>
      <c r="D156" s="9">
        <v>12.452612830406419</v>
      </c>
      <c r="E156" s="9">
        <v>12.961043120074965</v>
      </c>
      <c r="F156" s="9">
        <v>833.98457647524162</v>
      </c>
      <c r="G156" s="9">
        <v>868.03550422600563</v>
      </c>
      <c r="H156" s="9">
        <v>2418.2927058305895</v>
      </c>
      <c r="I156" s="24"/>
      <c r="J156" s="9">
        <v>12.779600291375694</v>
      </c>
      <c r="K156" s="9">
        <v>12.939429360260656</v>
      </c>
      <c r="L156" s="22">
        <v>855.88379576866555</v>
      </c>
      <c r="M156" s="22">
        <v>866.58797328850153</v>
      </c>
      <c r="N156" s="22">
        <v>573.26321415868108</v>
      </c>
    </row>
    <row r="157" spans="2:14" x14ac:dyDescent="0.25">
      <c r="B157" s="37">
        <v>153</v>
      </c>
      <c r="D157" s="9">
        <v>12.52890476274294</v>
      </c>
      <c r="E157" s="9">
        <v>13.040743682224626</v>
      </c>
      <c r="F157" s="9">
        <v>833.6097751081212</v>
      </c>
      <c r="G157" s="9">
        <v>867.66494071441639</v>
      </c>
      <c r="H157" s="9">
        <v>2434.5054783217679</v>
      </c>
      <c r="I157" s="24"/>
      <c r="J157" s="9">
        <v>12.862663797896587</v>
      </c>
      <c r="K157" s="9">
        <v>13.023549452294722</v>
      </c>
      <c r="L157" s="22">
        <v>855.81640844945605</v>
      </c>
      <c r="M157" s="22">
        <v>866.52092386566142</v>
      </c>
      <c r="N157" s="22">
        <v>577.05289779718737</v>
      </c>
    </row>
    <row r="158" spans="2:14" x14ac:dyDescent="0.25">
      <c r="B158" s="37">
        <v>154</v>
      </c>
      <c r="D158" s="9">
        <v>12.604854111354767</v>
      </c>
      <c r="E158" s="9">
        <v>13.120012756426547</v>
      </c>
      <c r="F158" s="9">
        <v>833.21719551938008</v>
      </c>
      <c r="G158" s="9">
        <v>867.27066711867474</v>
      </c>
      <c r="H158" s="9">
        <v>2450.2953876624142</v>
      </c>
      <c r="I158" s="24"/>
      <c r="J158" s="9">
        <v>12.9452285034016</v>
      </c>
      <c r="K158" s="9">
        <v>13.107167268763233</v>
      </c>
      <c r="L158" s="22">
        <v>855.71692410508399</v>
      </c>
      <c r="M158" s="22">
        <v>866.42154335164412</v>
      </c>
      <c r="N158" s="22">
        <v>580.83011917510385</v>
      </c>
    </row>
    <row r="159" spans="2:14" x14ac:dyDescent="0.25">
      <c r="B159" s="37">
        <v>155</v>
      </c>
      <c r="D159" s="9">
        <v>12.681540858112278</v>
      </c>
      <c r="E159" s="9">
        <v>13.200210714793039</v>
      </c>
      <c r="F159" s="9">
        <v>832.87811113866371</v>
      </c>
      <c r="G159" s="9">
        <v>866.94248670391653</v>
      </c>
      <c r="H159" s="9">
        <v>2466.996079173442</v>
      </c>
      <c r="I159" s="24"/>
      <c r="J159" s="9">
        <v>13.030418812160397</v>
      </c>
      <c r="K159" s="9">
        <v>13.193422849409352</v>
      </c>
      <c r="L159" s="22">
        <v>855.7911636325681</v>
      </c>
      <c r="M159" s="22">
        <v>866.49668405558816</v>
      </c>
      <c r="N159" s="22">
        <v>584.65095846508484</v>
      </c>
    </row>
    <row r="160" spans="2:14" x14ac:dyDescent="0.25">
      <c r="B160" s="37">
        <v>156</v>
      </c>
      <c r="D160" s="9">
        <v>12.758214284387808</v>
      </c>
      <c r="E160" s="9">
        <v>13.280391933284344</v>
      </c>
      <c r="F160" s="9">
        <v>832.54250476008383</v>
      </c>
      <c r="G160" s="9">
        <v>866.61742136295334</v>
      </c>
      <c r="H160" s="9">
        <v>2483.6805067171426</v>
      </c>
      <c r="I160" s="24"/>
      <c r="J160" s="9">
        <v>13.109780872215094</v>
      </c>
      <c r="K160" s="9">
        <v>13.273841494977217</v>
      </c>
      <c r="L160" s="22">
        <v>855.48412661212103</v>
      </c>
      <c r="M160" s="22">
        <v>866.18996982514955</v>
      </c>
      <c r="N160" s="22">
        <v>588.4406421035909</v>
      </c>
    </row>
    <row r="161" spans="2:14" x14ac:dyDescent="0.25">
      <c r="B161" s="37">
        <v>157</v>
      </c>
      <c r="D161" s="9">
        <v>12.83490073226621</v>
      </c>
      <c r="E161" s="9">
        <v>13.360589592771726</v>
      </c>
      <c r="F161" s="9">
        <v>832.21201793973751</v>
      </c>
      <c r="G161" s="9">
        <v>866.29756301216059</v>
      </c>
      <c r="H161" s="9">
        <v>2500.3811982281704</v>
      </c>
      <c r="I161" s="24"/>
      <c r="J161" s="9">
        <v>13.189948517378529</v>
      </c>
      <c r="K161" s="9">
        <v>13.355059355646105</v>
      </c>
      <c r="L161" s="22">
        <v>855.23323484487094</v>
      </c>
      <c r="M161" s="22">
        <v>865.93898370609486</v>
      </c>
      <c r="N161" s="22">
        <v>592.20747826435024</v>
      </c>
    </row>
    <row r="162" spans="2:14" x14ac:dyDescent="0.25">
      <c r="B162" s="37">
        <v>158</v>
      </c>
      <c r="D162" s="9">
        <v>12.910739737534282</v>
      </c>
      <c r="E162" s="9">
        <v>13.439719828686622</v>
      </c>
      <c r="F162" s="9">
        <v>831.83111428454606</v>
      </c>
      <c r="G162" s="9">
        <v>865.91298004924363</v>
      </c>
      <c r="H162" s="9">
        <v>2516.0355745077441</v>
      </c>
      <c r="I162" s="24"/>
      <c r="J162" s="9">
        <v>13.27673181136679</v>
      </c>
      <c r="K162" s="9">
        <v>13.442899235147541</v>
      </c>
      <c r="L162" s="22">
        <v>855.41176115564087</v>
      </c>
      <c r="M162" s="22">
        <v>866.11782727511263</v>
      </c>
      <c r="N162" s="22">
        <v>595.99716190285801</v>
      </c>
    </row>
    <row r="163" spans="2:14" x14ac:dyDescent="0.25">
      <c r="B163" s="37">
        <v>159</v>
      </c>
      <c r="D163" s="9">
        <v>13.026392257945671</v>
      </c>
      <c r="E163" s="9">
        <v>13.557160516417197</v>
      </c>
      <c r="F163" s="9">
        <v>803.67661011762482</v>
      </c>
      <c r="G163" s="9">
        <v>836.42290136079214</v>
      </c>
      <c r="H163" s="9">
        <v>2551.3644645966911</v>
      </c>
      <c r="I163" s="24"/>
      <c r="J163" s="9">
        <v>13.23455735746654</v>
      </c>
      <c r="K163" s="9">
        <v>13.386080199699149</v>
      </c>
      <c r="L163" s="22">
        <v>816.51956910542003</v>
      </c>
      <c r="M163" s="22">
        <v>825.86792602493563</v>
      </c>
      <c r="N163" s="22">
        <v>543.44276781638223</v>
      </c>
    </row>
    <row r="164" spans="2:14" x14ac:dyDescent="0.25">
      <c r="B164" s="37">
        <v>160</v>
      </c>
      <c r="D164" s="9">
        <v>13.101571807078937</v>
      </c>
      <c r="E164" s="9">
        <v>13.6354014016429</v>
      </c>
      <c r="F164" s="9">
        <v>803.44552258596741</v>
      </c>
      <c r="G164" s="9">
        <v>836.1822814948913</v>
      </c>
      <c r="H164" s="9">
        <v>2566.0800848241515</v>
      </c>
      <c r="I164" s="24"/>
      <c r="J164" s="9">
        <v>13.325131956217323</v>
      </c>
      <c r="K164" s="9">
        <v>13.477574720883078</v>
      </c>
      <c r="L164" s="22">
        <v>817.15520593532221</v>
      </c>
      <c r="M164" s="22">
        <v>826.5036611073308</v>
      </c>
      <c r="N164" s="22">
        <v>546.7420848667316</v>
      </c>
    </row>
    <row r="165" spans="2:14" x14ac:dyDescent="0.25">
      <c r="B165" s="37">
        <v>161</v>
      </c>
      <c r="D165" s="9">
        <v>13.17739484013233</v>
      </c>
      <c r="E165" s="9">
        <v>13.714449738332656</v>
      </c>
      <c r="F165" s="9">
        <v>803.25642751519069</v>
      </c>
      <c r="G165" s="9">
        <v>835.99376324365369</v>
      </c>
      <c r="H165" s="9">
        <v>2581.5838851249096</v>
      </c>
      <c r="I165" s="24"/>
      <c r="J165" s="9">
        <v>13.405118650982843</v>
      </c>
      <c r="K165" s="9">
        <v>13.558479121129515</v>
      </c>
      <c r="L165" s="22">
        <v>817.13782190179847</v>
      </c>
      <c r="M165" s="22">
        <v>826.48623901053475</v>
      </c>
      <c r="N165" s="22">
        <v>550.03348083114952</v>
      </c>
    </row>
    <row r="166" spans="2:14" x14ac:dyDescent="0.25">
      <c r="B166" s="37">
        <v>162</v>
      </c>
      <c r="D166" s="9">
        <v>13.2537626414267</v>
      </c>
      <c r="E166" s="9">
        <v>13.794181669117224</v>
      </c>
      <c r="F166" s="9">
        <v>803.102593431522</v>
      </c>
      <c r="G166" s="9">
        <v>835.8489111693566</v>
      </c>
      <c r="H166" s="9">
        <v>2597.7550112210729</v>
      </c>
      <c r="I166" s="24"/>
      <c r="J166" s="9">
        <v>13.481526058964572</v>
      </c>
      <c r="K166" s="9">
        <v>13.635805958888348</v>
      </c>
      <c r="L166" s="22">
        <v>816.90376041045636</v>
      </c>
      <c r="M166" s="22">
        <v>826.25224439159115</v>
      </c>
      <c r="N166" s="22">
        <v>553.33103764018108</v>
      </c>
    </row>
    <row r="167" spans="2:14" x14ac:dyDescent="0.25">
      <c r="B167" s="37">
        <v>163</v>
      </c>
      <c r="D167" s="9">
        <v>13.330143084222104</v>
      </c>
      <c r="E167" s="9">
        <v>13.873929520753693</v>
      </c>
      <c r="F167" s="9">
        <v>802.95134134001557</v>
      </c>
      <c r="G167" s="9">
        <v>835.70673232545494</v>
      </c>
      <c r="H167" s="9">
        <v>2613.9419009186959</v>
      </c>
      <c r="I167" s="24"/>
      <c r="J167" s="9">
        <v>13.563591378364267</v>
      </c>
      <c r="K167" s="9">
        <v>13.718791151455603</v>
      </c>
      <c r="L167" s="22">
        <v>817.01327748958738</v>
      </c>
      <c r="M167" s="22">
        <v>826.36185425969393</v>
      </c>
      <c r="N167" s="22">
        <v>556.63017866639757</v>
      </c>
    </row>
    <row r="168" spans="2:14" x14ac:dyDescent="0.25">
      <c r="B168" s="37">
        <v>164</v>
      </c>
      <c r="D168" s="9">
        <v>13.406360230380349</v>
      </c>
      <c r="E168" s="9">
        <v>13.953472537308555</v>
      </c>
      <c r="F168" s="9">
        <v>802.79209024789748</v>
      </c>
      <c r="G168" s="9">
        <v>835.55396035518629</v>
      </c>
      <c r="H168" s="9">
        <v>2629.9291183310838</v>
      </c>
      <c r="I168" s="24"/>
      <c r="J168" s="9">
        <v>13.643640380360273</v>
      </c>
      <c r="K168" s="9">
        <v>13.799759583228711</v>
      </c>
      <c r="L168" s="22">
        <v>817.00076615271553</v>
      </c>
      <c r="M168" s="22">
        <v>826.34940806930183</v>
      </c>
      <c r="N168" s="22">
        <v>559.92773547542913</v>
      </c>
    </row>
    <row r="169" spans="2:14" x14ac:dyDescent="0.25">
      <c r="B169" s="37">
        <v>165</v>
      </c>
      <c r="D169" s="9">
        <v>13.482354009318989</v>
      </c>
      <c r="E169" s="9">
        <v>14.032735344561923</v>
      </c>
      <c r="F169" s="9">
        <v>802.62140441157328</v>
      </c>
      <c r="G169" s="9">
        <v>835.38629398124817</v>
      </c>
      <c r="H169" s="9">
        <v>2645.643099984728</v>
      </c>
      <c r="I169" s="24"/>
      <c r="J169" s="9">
        <v>13.722887546968817</v>
      </c>
      <c r="K169" s="9">
        <v>13.879925440630281</v>
      </c>
      <c r="L169" s="22">
        <v>816.94066688333066</v>
      </c>
      <c r="M169" s="22">
        <v>826.28932919180284</v>
      </c>
      <c r="N169" s="22">
        <v>563.22265192248267</v>
      </c>
    </row>
    <row r="170" spans="2:14" x14ac:dyDescent="0.25">
      <c r="B170" s="37">
        <v>166</v>
      </c>
      <c r="D170" s="9">
        <v>13.559107092142925</v>
      </c>
      <c r="E170" s="9">
        <v>14.112950937402395</v>
      </c>
      <c r="F170" s="9">
        <v>802.49764280054148</v>
      </c>
      <c r="G170" s="9">
        <v>835.27696796405939</v>
      </c>
      <c r="H170" s="9">
        <v>2662.2871341248756</v>
      </c>
      <c r="I170" s="24"/>
      <c r="J170" s="9">
        <v>13.801326659293913</v>
      </c>
      <c r="K170" s="9">
        <v>13.959284426122926</v>
      </c>
      <c r="L170" s="22">
        <v>816.83344163728589</v>
      </c>
      <c r="M170" s="22">
        <v>826.18219407953006</v>
      </c>
      <c r="N170" s="22">
        <v>566.52179294870075</v>
      </c>
    </row>
    <row r="171" spans="2:14" x14ac:dyDescent="0.25">
      <c r="B171" s="37">
        <v>167</v>
      </c>
      <c r="D171" s="9">
        <v>13.634263661625152</v>
      </c>
      <c r="E171" s="9">
        <v>14.19116337739227</v>
      </c>
      <c r="F171" s="9">
        <v>802.28136827915364</v>
      </c>
      <c r="G171" s="9">
        <v>835.05103425073412</v>
      </c>
      <c r="H171" s="9">
        <v>2676.9764816832212</v>
      </c>
      <c r="I171" s="24"/>
      <c r="J171" s="9">
        <v>13.888121293748739</v>
      </c>
      <c r="K171" s="9">
        <v>14.046998490354863</v>
      </c>
      <c r="L171" s="22">
        <v>817.2191202181491</v>
      </c>
      <c r="M171" s="22">
        <v>826.56793566171984</v>
      </c>
      <c r="N171" s="22">
        <v>569.81934975773095</v>
      </c>
    </row>
    <row r="172" spans="2:14" x14ac:dyDescent="0.25">
      <c r="B172" s="37">
        <v>168</v>
      </c>
      <c r="D172" s="9">
        <v>13.710758827413382</v>
      </c>
      <c r="E172" s="9">
        <v>14.271055466179481</v>
      </c>
      <c r="F172" s="9">
        <v>802.14589404843241</v>
      </c>
      <c r="G172" s="9">
        <v>834.92596507825397</v>
      </c>
      <c r="H172" s="9">
        <v>2693.3052437940382</v>
      </c>
      <c r="I172" s="24"/>
      <c r="J172" s="9">
        <v>13.96255768363366</v>
      </c>
      <c r="K172" s="9">
        <v>14.122353571032809</v>
      </c>
      <c r="L172" s="22">
        <v>816.87734846212606</v>
      </c>
      <c r="M172" s="22">
        <v>826.22618294871688</v>
      </c>
      <c r="N172" s="22">
        <v>573.11426620478562</v>
      </c>
    </row>
    <row r="173" spans="2:14" x14ac:dyDescent="0.25">
      <c r="B173" s="37">
        <v>169</v>
      </c>
      <c r="D173" s="9">
        <v>13.787137907405768</v>
      </c>
      <c r="E173" s="9">
        <v>14.350801955012935</v>
      </c>
      <c r="F173" s="9">
        <v>802.00521532155472</v>
      </c>
      <c r="G173" s="9">
        <v>834.79385564025199</v>
      </c>
      <c r="H173" s="9">
        <v>2709.4921334916658</v>
      </c>
      <c r="I173" s="24"/>
      <c r="J173" s="9">
        <v>14.043017727633544</v>
      </c>
      <c r="K173" s="9">
        <v>14.203733241872213</v>
      </c>
      <c r="L173" s="22">
        <v>816.8898818634035</v>
      </c>
      <c r="M173" s="22">
        <v>826.23878962570723</v>
      </c>
      <c r="N173" s="22">
        <v>576.41252711034338</v>
      </c>
    </row>
    <row r="174" spans="2:14" x14ac:dyDescent="0.25">
      <c r="B174" s="37">
        <v>170</v>
      </c>
      <c r="D174" s="9">
        <v>13.86285166413297</v>
      </c>
      <c r="E174" s="9">
        <v>14.429713687452505</v>
      </c>
      <c r="F174" s="9">
        <v>801.82765290390978</v>
      </c>
      <c r="G174" s="9">
        <v>834.61496511721487</v>
      </c>
      <c r="H174" s="9">
        <v>2724.8645704468745</v>
      </c>
      <c r="I174" s="24"/>
      <c r="J174" s="9">
        <v>14.127072392575913</v>
      </c>
      <c r="K174" s="9">
        <v>14.288706597607597</v>
      </c>
      <c r="L174" s="22">
        <v>817.11018579604956</v>
      </c>
      <c r="M174" s="22">
        <v>826.45911186043656</v>
      </c>
      <c r="N174" s="22">
        <v>579.70744355739691</v>
      </c>
    </row>
    <row r="175" spans="2:14" x14ac:dyDescent="0.25">
      <c r="B175" s="37">
        <v>171</v>
      </c>
      <c r="D175" s="9">
        <v>13.939882517515484</v>
      </c>
      <c r="E175" s="9">
        <v>14.51027810345391</v>
      </c>
      <c r="F175" s="9">
        <v>801.7278473409483</v>
      </c>
      <c r="G175" s="9">
        <v>834.53314714692533</v>
      </c>
      <c r="H175" s="9">
        <v>2741.8501492854516</v>
      </c>
      <c r="I175" s="24"/>
      <c r="J175" s="9">
        <v>14.203100930907077</v>
      </c>
      <c r="K175" s="9">
        <v>14.365655058371916</v>
      </c>
      <c r="L175" s="22">
        <v>816.86639185047216</v>
      </c>
      <c r="M175" s="22">
        <v>826.2154068457578</v>
      </c>
      <c r="N175" s="22">
        <v>583.00676060774629</v>
      </c>
    </row>
    <row r="176" spans="2:14" x14ac:dyDescent="0.25">
      <c r="B176" s="37">
        <v>172</v>
      </c>
      <c r="D176" s="9">
        <v>14.015724563595448</v>
      </c>
      <c r="E176" s="9">
        <v>14.589350918755034</v>
      </c>
      <c r="F176" s="9">
        <v>801.56117513908964</v>
      </c>
      <c r="G176" s="9">
        <v>834.36694363476556</v>
      </c>
      <c r="H176" s="9">
        <v>2757.3802222553254</v>
      </c>
      <c r="I176" s="24"/>
      <c r="J176" s="9">
        <v>14.282779106363385</v>
      </c>
      <c r="K176" s="9">
        <v>14.446251431965205</v>
      </c>
      <c r="L176" s="22">
        <v>816.83406040135458</v>
      </c>
      <c r="M176" s="22">
        <v>826.18306471558469</v>
      </c>
      <c r="N176" s="22">
        <v>586.29991681348349</v>
      </c>
    </row>
    <row r="177" spans="2:14" x14ac:dyDescent="0.25">
      <c r="B177" s="37">
        <v>173</v>
      </c>
      <c r="D177" s="9">
        <v>14.092089877413773</v>
      </c>
      <c r="E177" s="9">
        <v>14.669080362063552</v>
      </c>
      <c r="F177" s="9">
        <v>801.42612376591546</v>
      </c>
      <c r="G177" s="9">
        <v>834.23993999794413</v>
      </c>
      <c r="H177" s="9">
        <v>2773.5513483514837</v>
      </c>
      <c r="I177" s="24"/>
      <c r="J177" s="9">
        <v>14.363997829671128</v>
      </c>
      <c r="K177" s="9">
        <v>14.52839126008063</v>
      </c>
      <c r="L177" s="22">
        <v>816.889702134657</v>
      </c>
      <c r="M177" s="22">
        <v>826.2388611913866</v>
      </c>
      <c r="N177" s="22">
        <v>589.60345844299422</v>
      </c>
    </row>
    <row r="178" spans="2:14" x14ac:dyDescent="0.25">
      <c r="B178" s="37">
        <v>174</v>
      </c>
      <c r="D178" s="9">
        <v>14.167910038595364</v>
      </c>
      <c r="E178" s="9">
        <v>14.748125826881486</v>
      </c>
      <c r="F178" s="9">
        <v>801.26174202587879</v>
      </c>
      <c r="G178" s="9">
        <v>834.07566532201713</v>
      </c>
      <c r="H178" s="9">
        <v>2789.0551486522477</v>
      </c>
      <c r="I178" s="24"/>
      <c r="J178" s="9">
        <v>14.443199830420006</v>
      </c>
      <c r="K178" s="9">
        <v>14.60851145896647</v>
      </c>
      <c r="L178" s="22">
        <v>816.8306705099294</v>
      </c>
      <c r="M178" s="22">
        <v>826.17981820393936</v>
      </c>
      <c r="N178" s="22">
        <v>592.89661464873132</v>
      </c>
    </row>
    <row r="179" spans="2:14" x14ac:dyDescent="0.25">
      <c r="B179" s="37">
        <v>175</v>
      </c>
      <c r="D179" s="9">
        <v>14.243996014864136</v>
      </c>
      <c r="E179" s="9">
        <v>14.8275048800381</v>
      </c>
      <c r="F179" s="9">
        <v>801.11412669242952</v>
      </c>
      <c r="G179" s="9">
        <v>833.93196758857437</v>
      </c>
      <c r="H179" s="9">
        <v>2804.884730049977</v>
      </c>
      <c r="I179" s="24"/>
      <c r="J179" s="9">
        <v>14.5236524833964</v>
      </c>
      <c r="K179" s="9">
        <v>14.689882802735893</v>
      </c>
      <c r="L179" s="22">
        <v>816.84263064092283</v>
      </c>
      <c r="M179" s="22">
        <v>826.19179480584501</v>
      </c>
      <c r="N179" s="22">
        <v>596.19153109578497</v>
      </c>
    </row>
    <row r="180" spans="2:14" x14ac:dyDescent="0.25">
      <c r="B180" s="37">
        <v>176</v>
      </c>
      <c r="D180" s="9">
        <v>14.32011610128192</v>
      </c>
      <c r="E180" s="9">
        <v>14.906926788279391</v>
      </c>
      <c r="F180" s="9">
        <v>800.97004139558305</v>
      </c>
      <c r="G180" s="9">
        <v>833.7922459734956</v>
      </c>
      <c r="H180" s="9">
        <v>2820.7563477182789</v>
      </c>
      <c r="I180" s="24"/>
      <c r="J180" s="9">
        <v>14.604880405019474</v>
      </c>
      <c r="K180" s="9">
        <v>14.772030843854553</v>
      </c>
      <c r="L180" s="22">
        <v>816.89782260485936</v>
      </c>
      <c r="M180" s="22">
        <v>826.24708297161283</v>
      </c>
      <c r="N180" s="22">
        <v>599.4915522426619</v>
      </c>
    </row>
    <row r="181" spans="2:14" x14ac:dyDescent="0.25">
      <c r="B181" s="37">
        <v>177</v>
      </c>
      <c r="D181" s="9">
        <v>14.396866700840651</v>
      </c>
      <c r="E181" s="9">
        <v>14.987139897854656</v>
      </c>
      <c r="F181" s="9">
        <v>800.86260471069875</v>
      </c>
      <c r="G181" s="9">
        <v>833.69806397239665</v>
      </c>
      <c r="H181" s="9">
        <v>2837.4003818584215</v>
      </c>
      <c r="I181" s="24"/>
      <c r="J181" s="9">
        <v>14.678607903162366</v>
      </c>
      <c r="K181" s="9">
        <v>14.846676540134407</v>
      </c>
      <c r="L181" s="22">
        <v>816.53518110070718</v>
      </c>
      <c r="M181" s="22">
        <v>825.8844297374086</v>
      </c>
      <c r="N181" s="22">
        <v>602.78470844839751</v>
      </c>
    </row>
    <row r="182" spans="2:14" x14ac:dyDescent="0.25">
      <c r="B182" s="37">
        <v>178</v>
      </c>
      <c r="D182" s="9">
        <v>14.472578741582012</v>
      </c>
      <c r="E182" s="9">
        <v>15.06604991430839</v>
      </c>
      <c r="F182" s="9">
        <v>800.69887730111873</v>
      </c>
      <c r="G182" s="9">
        <v>833.53281175036011</v>
      </c>
      <c r="H182" s="9">
        <v>2852.7728188136302</v>
      </c>
      <c r="I182" s="24"/>
      <c r="J182" s="9">
        <v>14.766569741049739</v>
      </c>
      <c r="K182" s="9">
        <v>14.935558300454943</v>
      </c>
      <c r="L182" s="22">
        <v>816.96399959989094</v>
      </c>
      <c r="M182" s="22">
        <v>826.31333203114013</v>
      </c>
      <c r="N182" s="22">
        <v>606.08402549874688</v>
      </c>
    </row>
    <row r="183" spans="2:14" x14ac:dyDescent="0.25">
      <c r="B183" s="37">
        <v>179</v>
      </c>
      <c r="D183" s="9">
        <v>14.549607787131801</v>
      </c>
      <c r="E183" s="9">
        <v>15.146612522477081</v>
      </c>
      <c r="F183" s="9">
        <v>800.60938966600304</v>
      </c>
      <c r="G183" s="9">
        <v>833.46028185398563</v>
      </c>
      <c r="H183" s="9">
        <v>2869.7583976522073</v>
      </c>
      <c r="I183" s="24"/>
      <c r="J183" s="9">
        <v>14.842646723430475</v>
      </c>
      <c r="K183" s="9">
        <v>15.012555451596869</v>
      </c>
      <c r="L183" s="22">
        <v>816.73420398202563</v>
      </c>
      <c r="M183" s="22">
        <v>826.0836328564269</v>
      </c>
      <c r="N183" s="22">
        <v>609.38422266975397</v>
      </c>
    </row>
    <row r="184" spans="2:14" x14ac:dyDescent="0.25">
      <c r="B184" s="37">
        <v>180</v>
      </c>
      <c r="D184" s="9">
        <v>14.624761632472721</v>
      </c>
      <c r="E184" s="9">
        <v>15.224822238325643</v>
      </c>
      <c r="F184" s="9">
        <v>800.41823391116964</v>
      </c>
      <c r="G184" s="9">
        <v>833.25975724307887</v>
      </c>
      <c r="H184" s="9">
        <v>2884.4477452105534</v>
      </c>
      <c r="I184" s="24"/>
      <c r="J184" s="9">
        <v>14.926981498524093</v>
      </c>
      <c r="K184" s="9">
        <v>15.097809360873946</v>
      </c>
      <c r="L184" s="22">
        <v>816.95883111998785</v>
      </c>
      <c r="M184" s="22">
        <v>826.30829877772294</v>
      </c>
      <c r="N184" s="22">
        <v>612.68072333399516</v>
      </c>
    </row>
    <row r="185" spans="2:14" x14ac:dyDescent="0.25">
      <c r="B185" s="37">
        <v>181</v>
      </c>
      <c r="D185" s="9">
        <v>14.700601764900474</v>
      </c>
      <c r="E185" s="9">
        <v>15.303893139974551</v>
      </c>
      <c r="F185" s="9">
        <v>800.26648247169408</v>
      </c>
      <c r="G185" s="9">
        <v>833.10825822734876</v>
      </c>
      <c r="H185" s="9">
        <v>2899.9778181804268</v>
      </c>
      <c r="I185" s="24"/>
      <c r="J185" s="9">
        <v>15.009796057027549</v>
      </c>
      <c r="K185" s="9">
        <v>15.181542610170434</v>
      </c>
      <c r="L185" s="22">
        <v>817.09829878221058</v>
      </c>
      <c r="M185" s="22">
        <v>826.44778067134359</v>
      </c>
      <c r="N185" s="22">
        <v>615.97563978104859</v>
      </c>
    </row>
    <row r="186" spans="2:14" x14ac:dyDescent="0.25">
      <c r="B186" s="37">
        <v>182</v>
      </c>
      <c r="D186" s="9">
        <v>14.777630151563708</v>
      </c>
      <c r="E186" s="9">
        <v>15.384455089256676</v>
      </c>
      <c r="F186" s="9">
        <v>800.18068712579293</v>
      </c>
      <c r="G186" s="9">
        <v>833.03910830889754</v>
      </c>
      <c r="H186" s="9">
        <v>2916.9633970190039</v>
      </c>
      <c r="I186" s="24"/>
      <c r="J186" s="9">
        <v>15.086665214439098</v>
      </c>
      <c r="K186" s="9">
        <v>15.259332675327249</v>
      </c>
      <c r="L186" s="22">
        <v>816.91435053605403</v>
      </c>
      <c r="M186" s="22">
        <v>826.26396654895211</v>
      </c>
      <c r="N186" s="22">
        <v>619.27847731403324</v>
      </c>
    </row>
    <row r="187" spans="2:14" x14ac:dyDescent="0.25">
      <c r="B187" s="37">
        <v>183</v>
      </c>
      <c r="D187" s="9">
        <v>14.853341148113477</v>
      </c>
      <c r="E187" s="9">
        <v>15.463364061518812</v>
      </c>
      <c r="F187" s="9">
        <v>800.02484291687608</v>
      </c>
      <c r="G187" s="9">
        <v>832.88165813483022</v>
      </c>
      <c r="H187" s="9">
        <v>2932.3358339742122</v>
      </c>
      <c r="I187" s="24"/>
      <c r="J187" s="9">
        <v>15.168311599877303</v>
      </c>
      <c r="K187" s="9">
        <v>15.341897455964837</v>
      </c>
      <c r="L187" s="22">
        <v>816.98965801693305</v>
      </c>
      <c r="M187" s="22">
        <v>826.339271404535</v>
      </c>
      <c r="N187" s="22">
        <v>622.57233761629664</v>
      </c>
    </row>
    <row r="188" spans="2:14" x14ac:dyDescent="0.25">
      <c r="B188" s="37">
        <v>184</v>
      </c>
      <c r="D188" s="9">
        <v>14.93009021670319</v>
      </c>
      <c r="E188" s="9">
        <v>15.543575640125072</v>
      </c>
      <c r="F188" s="9">
        <v>799.92625712802976</v>
      </c>
      <c r="G188" s="9">
        <v>832.79565653805116</v>
      </c>
      <c r="H188" s="9">
        <v>2948.9798681143538</v>
      </c>
      <c r="I188" s="24"/>
      <c r="J188" s="9">
        <v>15.242871099724514</v>
      </c>
      <c r="K188" s="9">
        <v>15.417374661292966</v>
      </c>
      <c r="L188" s="22">
        <v>816.68447073725042</v>
      </c>
      <c r="M188" s="22">
        <v>826.03404457336796</v>
      </c>
      <c r="N188" s="22">
        <v>625.86373358071455</v>
      </c>
    </row>
    <row r="189" spans="2:14" x14ac:dyDescent="0.25">
      <c r="B189" s="37">
        <v>185</v>
      </c>
      <c r="D189" s="9">
        <v>15.005543378206298</v>
      </c>
      <c r="E189" s="9">
        <v>15.622161190322986</v>
      </c>
      <c r="F189" s="9">
        <v>799.7596348974937</v>
      </c>
      <c r="G189" s="9">
        <v>832.62389204968497</v>
      </c>
      <c r="H189" s="9">
        <v>2964.0370330402443</v>
      </c>
      <c r="I189" s="24"/>
      <c r="J189" s="9">
        <v>15.329187432802968</v>
      </c>
      <c r="K189" s="9">
        <v>15.504611902116681</v>
      </c>
      <c r="L189" s="22">
        <v>817.00909027655757</v>
      </c>
      <c r="M189" s="22">
        <v>826.35879564838604</v>
      </c>
      <c r="N189" s="22">
        <v>629.16657111369943</v>
      </c>
    </row>
    <row r="190" spans="2:14" x14ac:dyDescent="0.25">
      <c r="B190" s="37">
        <v>186</v>
      </c>
      <c r="D190" s="9">
        <v>15.082292017363345</v>
      </c>
      <c r="E190" s="9">
        <v>15.702372339496568</v>
      </c>
      <c r="F190" s="9">
        <v>799.6634345671863</v>
      </c>
      <c r="G190" s="9">
        <v>832.54010606603617</v>
      </c>
      <c r="H190" s="9">
        <v>2980.6810671803864</v>
      </c>
      <c r="I190" s="24"/>
      <c r="J190" s="9">
        <v>15.403764820025566</v>
      </c>
      <c r="K190" s="9">
        <v>15.580107684538671</v>
      </c>
      <c r="L190" s="22">
        <v>816.70792921036536</v>
      </c>
      <c r="M190" s="22">
        <v>826.05763153250734</v>
      </c>
      <c r="N190" s="22">
        <v>632.46043141596397</v>
      </c>
    </row>
    <row r="191" spans="2:14" x14ac:dyDescent="0.25">
      <c r="B191" s="37">
        <v>187</v>
      </c>
      <c r="D191" s="9">
        <v>15.158109447940298</v>
      </c>
      <c r="E191" s="9">
        <v>15.78141507370988</v>
      </c>
      <c r="F191" s="9">
        <v>799.51911425041487</v>
      </c>
      <c r="G191" s="9">
        <v>832.39555992684529</v>
      </c>
      <c r="H191" s="9">
        <v>2996.1848674811508</v>
      </c>
      <c r="I191" s="24"/>
      <c r="J191" s="9">
        <v>15.48687835436658</v>
      </c>
      <c r="K191" s="9">
        <v>15.664140648656801</v>
      </c>
      <c r="L191" s="22">
        <v>816.86013067213867</v>
      </c>
      <c r="M191" s="22">
        <v>826.20988454531516</v>
      </c>
      <c r="N191" s="22">
        <v>635.75798822499439</v>
      </c>
    </row>
    <row r="192" spans="2:14" x14ac:dyDescent="0.25">
      <c r="B192" s="37">
        <v>188</v>
      </c>
      <c r="D192" s="9">
        <v>15.234471536160676</v>
      </c>
      <c r="E192" s="9">
        <v>15.861141291420441</v>
      </c>
      <c r="F192" s="9">
        <v>799.4048618226135</v>
      </c>
      <c r="G192" s="9">
        <v>832.28836867237555</v>
      </c>
      <c r="H192" s="9">
        <v>3012.3559935773083</v>
      </c>
      <c r="I192" s="24"/>
      <c r="J192" s="9">
        <v>15.562623183062961</v>
      </c>
      <c r="K192" s="9">
        <v>15.740804168146189</v>
      </c>
      <c r="L192" s="22">
        <v>816.62410184194243</v>
      </c>
      <c r="M192" s="22">
        <v>825.9738679576742</v>
      </c>
      <c r="N192" s="22">
        <v>639.05290467204929</v>
      </c>
    </row>
    <row r="193" spans="2:14" x14ac:dyDescent="0.25">
      <c r="B193" s="37">
        <v>189</v>
      </c>
      <c r="D193" s="9">
        <v>15.310310009832698</v>
      </c>
      <c r="E193" s="9">
        <v>15.940210534313607</v>
      </c>
      <c r="F193" s="9">
        <v>799.26444626893237</v>
      </c>
      <c r="G193" s="9">
        <v>832.14797988650196</v>
      </c>
      <c r="H193" s="9">
        <v>3027.8860665471825</v>
      </c>
      <c r="I193" s="24"/>
      <c r="J193" s="9">
        <v>15.653183487389569</v>
      </c>
      <c r="K193" s="9">
        <v>15.83228587287412</v>
      </c>
      <c r="L193" s="22">
        <v>817.16392577024851</v>
      </c>
      <c r="M193" s="22">
        <v>826.51384545625228</v>
      </c>
      <c r="N193" s="22">
        <v>642.35750244635199</v>
      </c>
    </row>
    <row r="194" spans="2:14" x14ac:dyDescent="0.25">
      <c r="B194" s="37">
        <v>190</v>
      </c>
      <c r="D194" s="9">
        <v>15.387336654602853</v>
      </c>
      <c r="E194" s="9">
        <v>16.020770741702673</v>
      </c>
      <c r="F194" s="9">
        <v>799.18717473308311</v>
      </c>
      <c r="G194" s="9">
        <v>832.08646132258548</v>
      </c>
      <c r="H194" s="9">
        <v>3044.8716453857596</v>
      </c>
      <c r="I194" s="24"/>
      <c r="J194" s="9">
        <v>15.719998449485349</v>
      </c>
      <c r="K194" s="9">
        <v>15.900018737513241</v>
      </c>
      <c r="L194" s="22">
        <v>816.4649561946494</v>
      </c>
      <c r="M194" s="22">
        <v>825.81484621220557</v>
      </c>
      <c r="N194" s="22">
        <v>645.64960250729723</v>
      </c>
    </row>
    <row r="195" spans="2:14" x14ac:dyDescent="0.25">
      <c r="B195" s="37">
        <v>191</v>
      </c>
      <c r="D195" s="9">
        <v>15.463046013135438</v>
      </c>
      <c r="E195" s="9">
        <v>16.099678075947622</v>
      </c>
      <c r="F195" s="9">
        <v>799.04261778967259</v>
      </c>
      <c r="G195" s="9">
        <v>831.94015619227218</v>
      </c>
      <c r="H195" s="9">
        <v>3060.2440823409684</v>
      </c>
      <c r="I195" s="24"/>
      <c r="J195" s="9">
        <v>15.805515818859897</v>
      </c>
      <c r="K195" s="9">
        <v>15.986455044008835</v>
      </c>
      <c r="L195" s="22">
        <v>816.73951721346884</v>
      </c>
      <c r="M195" s="22">
        <v>826.08943132489469</v>
      </c>
      <c r="N195" s="22">
        <v>648.94539907500996</v>
      </c>
    </row>
    <row r="196" spans="2:14" x14ac:dyDescent="0.25">
      <c r="B196" s="37">
        <v>192</v>
      </c>
      <c r="D196" s="9">
        <v>15.539420135548568</v>
      </c>
      <c r="E196" s="9">
        <v>16.179419607201822</v>
      </c>
      <c r="F196" s="9">
        <v>798.9336987577118</v>
      </c>
      <c r="G196" s="9">
        <v>831.83821775718263</v>
      </c>
      <c r="H196" s="9">
        <v>3076.4309720385959</v>
      </c>
      <c r="I196" s="24"/>
      <c r="J196" s="9">
        <v>15.886741405647934</v>
      </c>
      <c r="K196" s="9">
        <v>16.068600306901999</v>
      </c>
      <c r="L196" s="22">
        <v>816.79064995391013</v>
      </c>
      <c r="M196" s="22">
        <v>826.14062590948299</v>
      </c>
      <c r="N196" s="22">
        <v>652.24383600470026</v>
      </c>
    </row>
    <row r="197" spans="2:14" x14ac:dyDescent="0.25">
      <c r="B197" s="37">
        <v>193</v>
      </c>
      <c r="D197" s="9">
        <v>15.615244925186349</v>
      </c>
      <c r="E197" s="9">
        <v>16.258471886709881</v>
      </c>
      <c r="F197" s="9">
        <v>798.79777327411171</v>
      </c>
      <c r="G197" s="9">
        <v>831.70204515947489</v>
      </c>
      <c r="H197" s="9">
        <v>3091.945281407</v>
      </c>
      <c r="I197" s="24"/>
      <c r="J197" s="9">
        <v>15.962524031621941</v>
      </c>
      <c r="K197" s="9">
        <v>16.145301328075405</v>
      </c>
      <c r="L197" s="22">
        <v>816.56283416521148</v>
      </c>
      <c r="M197" s="22">
        <v>825.91280581865624</v>
      </c>
      <c r="N197" s="22">
        <v>655.53769630696343</v>
      </c>
    </row>
    <row r="198" spans="2:14" x14ac:dyDescent="0.25">
      <c r="B198" s="37">
        <v>194</v>
      </c>
      <c r="D198" s="9">
        <v>15.691060936812335</v>
      </c>
      <c r="E198" s="9">
        <v>16.337513201972218</v>
      </c>
      <c r="F198" s="9">
        <v>798.66276025139496</v>
      </c>
      <c r="G198" s="9">
        <v>831.56667621619056</v>
      </c>
      <c r="H198" s="9">
        <v>3107.449081707764</v>
      </c>
      <c r="I198" s="24"/>
      <c r="J198" s="9">
        <v>16.04871322545948</v>
      </c>
      <c r="K198" s="9">
        <v>16.232410444346101</v>
      </c>
      <c r="L198" s="22">
        <v>816.86698271993555</v>
      </c>
      <c r="M198" s="22">
        <v>826.21702784928027</v>
      </c>
      <c r="N198" s="22">
        <v>658.8370133573128</v>
      </c>
    </row>
    <row r="199" spans="2:14" x14ac:dyDescent="0.25">
      <c r="B199" s="37">
        <v>195</v>
      </c>
    </row>
    <row r="200" spans="2:14" x14ac:dyDescent="0.25">
      <c r="B200" s="37">
        <v>196</v>
      </c>
    </row>
    <row r="201" spans="2:14" x14ac:dyDescent="0.25">
      <c r="B201" s="37">
        <v>197</v>
      </c>
    </row>
    <row r="202" spans="2:14" x14ac:dyDescent="0.25">
      <c r="B202" s="37">
        <v>198</v>
      </c>
    </row>
    <row r="203" spans="2:14" x14ac:dyDescent="0.25">
      <c r="B203" s="37">
        <v>199</v>
      </c>
    </row>
    <row r="204" spans="2:14" x14ac:dyDescent="0.25">
      <c r="B204" s="37">
        <v>200</v>
      </c>
    </row>
    <row r="205" spans="2:14" x14ac:dyDescent="0.25">
      <c r="B205" s="37">
        <v>201</v>
      </c>
    </row>
    <row r="206" spans="2:14" x14ac:dyDescent="0.25">
      <c r="B206" s="37">
        <v>202</v>
      </c>
    </row>
    <row r="207" spans="2:14" x14ac:dyDescent="0.25">
      <c r="B207" s="37">
        <v>203</v>
      </c>
    </row>
    <row r="208" spans="2:14" x14ac:dyDescent="0.25">
      <c r="B208" s="37">
        <v>204</v>
      </c>
    </row>
    <row r="209" spans="2:2" x14ac:dyDescent="0.25">
      <c r="B209" s="37">
        <v>205</v>
      </c>
    </row>
    <row r="210" spans="2:2" x14ac:dyDescent="0.25">
      <c r="B210" s="37">
        <v>206</v>
      </c>
    </row>
    <row r="211" spans="2:2" x14ac:dyDescent="0.25">
      <c r="B211" s="37">
        <v>207</v>
      </c>
    </row>
    <row r="212" spans="2:2" x14ac:dyDescent="0.25">
      <c r="B212" s="37">
        <v>208</v>
      </c>
    </row>
    <row r="213" spans="2:2" x14ac:dyDescent="0.25">
      <c r="B213" s="37">
        <v>209</v>
      </c>
    </row>
    <row r="214" spans="2:2" x14ac:dyDescent="0.25">
      <c r="B214" s="37">
        <v>210</v>
      </c>
    </row>
    <row r="215" spans="2:2" x14ac:dyDescent="0.25">
      <c r="B215" s="37">
        <v>211</v>
      </c>
    </row>
    <row r="216" spans="2:2" x14ac:dyDescent="0.25">
      <c r="B216" s="37">
        <v>212</v>
      </c>
    </row>
    <row r="217" spans="2:2" x14ac:dyDescent="0.25">
      <c r="B217" s="37">
        <v>213</v>
      </c>
    </row>
    <row r="218" spans="2:2" x14ac:dyDescent="0.25">
      <c r="B218" s="37">
        <v>214</v>
      </c>
    </row>
    <row r="219" spans="2:2" x14ac:dyDescent="0.25">
      <c r="B219" s="37">
        <v>215</v>
      </c>
    </row>
    <row r="220" spans="2:2" x14ac:dyDescent="0.25">
      <c r="B220" s="37">
        <v>216</v>
      </c>
    </row>
    <row r="221" spans="2:2" x14ac:dyDescent="0.25">
      <c r="B221" s="37">
        <v>217</v>
      </c>
    </row>
    <row r="222" spans="2:2" x14ac:dyDescent="0.25">
      <c r="B222" s="37">
        <v>218</v>
      </c>
    </row>
    <row r="223" spans="2:2" x14ac:dyDescent="0.25">
      <c r="B223" s="37">
        <v>219</v>
      </c>
    </row>
    <row r="224" spans="2:2" x14ac:dyDescent="0.25">
      <c r="B224" s="37">
        <v>220</v>
      </c>
    </row>
    <row r="225" spans="2:2" x14ac:dyDescent="0.25">
      <c r="B225" s="37">
        <v>221</v>
      </c>
    </row>
    <row r="226" spans="2:2" x14ac:dyDescent="0.25">
      <c r="B226" s="37">
        <v>222</v>
      </c>
    </row>
    <row r="227" spans="2:2" x14ac:dyDescent="0.25">
      <c r="B227" s="37">
        <v>223</v>
      </c>
    </row>
    <row r="228" spans="2:2" x14ac:dyDescent="0.25">
      <c r="B228" s="37">
        <v>224</v>
      </c>
    </row>
    <row r="229" spans="2:2" x14ac:dyDescent="0.25">
      <c r="B229" s="37">
        <v>225</v>
      </c>
    </row>
    <row r="230" spans="2:2" x14ac:dyDescent="0.25">
      <c r="B230" s="37">
        <v>226</v>
      </c>
    </row>
    <row r="231" spans="2:2" x14ac:dyDescent="0.25">
      <c r="B231" s="37">
        <v>227</v>
      </c>
    </row>
    <row r="232" spans="2:2" x14ac:dyDescent="0.25">
      <c r="B232" s="37">
        <v>228</v>
      </c>
    </row>
    <row r="233" spans="2:2" x14ac:dyDescent="0.25">
      <c r="B233" s="37">
        <v>229</v>
      </c>
    </row>
    <row r="234" spans="2:2" x14ac:dyDescent="0.25">
      <c r="B234" s="37">
        <v>230</v>
      </c>
    </row>
    <row r="235" spans="2:2" x14ac:dyDescent="0.25">
      <c r="B235" s="37">
        <v>231</v>
      </c>
    </row>
    <row r="236" spans="2:2" x14ac:dyDescent="0.25">
      <c r="B236" s="37">
        <v>232</v>
      </c>
    </row>
    <row r="237" spans="2:2" x14ac:dyDescent="0.25">
      <c r="B237" s="37">
        <v>233</v>
      </c>
    </row>
    <row r="238" spans="2:2" x14ac:dyDescent="0.25">
      <c r="B238" s="37">
        <v>234</v>
      </c>
    </row>
    <row r="239" spans="2:2" x14ac:dyDescent="0.25">
      <c r="B239" s="37">
        <v>235</v>
      </c>
    </row>
    <row r="240" spans="2:2" x14ac:dyDescent="0.25">
      <c r="B240" s="37">
        <v>236</v>
      </c>
    </row>
    <row r="241" spans="2:2" x14ac:dyDescent="0.25">
      <c r="B241" s="37">
        <v>237</v>
      </c>
    </row>
    <row r="242" spans="2:2" x14ac:dyDescent="0.25">
      <c r="B242" s="37">
        <v>238</v>
      </c>
    </row>
    <row r="243" spans="2:2" x14ac:dyDescent="0.25">
      <c r="B243" s="37">
        <v>239</v>
      </c>
    </row>
    <row r="244" spans="2:2" x14ac:dyDescent="0.25">
      <c r="B244" s="37">
        <v>240</v>
      </c>
    </row>
    <row r="245" spans="2:2" x14ac:dyDescent="0.25">
      <c r="B245" s="37">
        <v>241</v>
      </c>
    </row>
    <row r="246" spans="2:2" x14ac:dyDescent="0.25">
      <c r="B246" s="37">
        <v>242</v>
      </c>
    </row>
    <row r="247" spans="2:2" x14ac:dyDescent="0.25">
      <c r="B247" s="37">
        <v>243</v>
      </c>
    </row>
    <row r="248" spans="2:2" x14ac:dyDescent="0.25">
      <c r="B248" s="37">
        <v>244</v>
      </c>
    </row>
    <row r="249" spans="2:2" x14ac:dyDescent="0.25">
      <c r="B249" s="37">
        <v>245</v>
      </c>
    </row>
    <row r="250" spans="2:2" x14ac:dyDescent="0.25">
      <c r="B250" s="37">
        <v>246</v>
      </c>
    </row>
    <row r="251" spans="2:2" x14ac:dyDescent="0.25">
      <c r="B251" s="37">
        <v>247</v>
      </c>
    </row>
    <row r="252" spans="2:2" x14ac:dyDescent="0.25">
      <c r="B252" s="37">
        <v>248</v>
      </c>
    </row>
    <row r="253" spans="2:2" x14ac:dyDescent="0.25">
      <c r="B253" s="37">
        <v>249</v>
      </c>
    </row>
    <row r="254" spans="2:2" x14ac:dyDescent="0.25">
      <c r="B254" s="37">
        <v>250</v>
      </c>
    </row>
    <row r="255" spans="2:2" x14ac:dyDescent="0.25">
      <c r="B255" s="37">
        <v>251</v>
      </c>
    </row>
    <row r="256" spans="2:2" x14ac:dyDescent="0.25">
      <c r="B256" s="37">
        <v>252</v>
      </c>
    </row>
    <row r="257" spans="2:2" x14ac:dyDescent="0.25">
      <c r="B257" s="37">
        <v>253</v>
      </c>
    </row>
    <row r="258" spans="2:2" x14ac:dyDescent="0.25">
      <c r="B258" s="37">
        <v>254</v>
      </c>
    </row>
    <row r="259" spans="2:2" x14ac:dyDescent="0.25">
      <c r="B259" s="37">
        <v>255</v>
      </c>
    </row>
    <row r="260" spans="2:2" x14ac:dyDescent="0.25">
      <c r="B260" s="37">
        <v>256</v>
      </c>
    </row>
    <row r="261" spans="2:2" x14ac:dyDescent="0.25">
      <c r="B261" s="37">
        <v>257</v>
      </c>
    </row>
    <row r="262" spans="2:2" x14ac:dyDescent="0.25">
      <c r="B262" s="37">
        <v>258</v>
      </c>
    </row>
    <row r="263" spans="2:2" x14ac:dyDescent="0.25">
      <c r="B263" s="37">
        <v>259</v>
      </c>
    </row>
    <row r="264" spans="2:2" x14ac:dyDescent="0.25">
      <c r="B264" s="37">
        <v>260</v>
      </c>
    </row>
    <row r="265" spans="2:2" x14ac:dyDescent="0.25">
      <c r="B265" s="37">
        <v>261</v>
      </c>
    </row>
    <row r="266" spans="2:2" x14ac:dyDescent="0.25">
      <c r="B266" s="37">
        <v>262</v>
      </c>
    </row>
    <row r="267" spans="2:2" x14ac:dyDescent="0.25">
      <c r="B267" s="37">
        <v>263</v>
      </c>
    </row>
    <row r="268" spans="2:2" x14ac:dyDescent="0.25">
      <c r="B268" s="37">
        <v>264</v>
      </c>
    </row>
    <row r="269" spans="2:2" x14ac:dyDescent="0.25">
      <c r="B269" s="37">
        <v>265</v>
      </c>
    </row>
    <row r="270" spans="2:2" x14ac:dyDescent="0.25">
      <c r="B270" s="37">
        <v>266</v>
      </c>
    </row>
    <row r="271" spans="2:2" x14ac:dyDescent="0.25">
      <c r="B271" s="37">
        <v>267</v>
      </c>
    </row>
    <row r="272" spans="2:2" x14ac:dyDescent="0.25">
      <c r="B272" s="37">
        <v>268</v>
      </c>
    </row>
    <row r="273" spans="2:2" x14ac:dyDescent="0.25">
      <c r="B273" s="37">
        <v>269</v>
      </c>
    </row>
    <row r="274" spans="2:2" x14ac:dyDescent="0.25">
      <c r="B274" s="37">
        <v>270</v>
      </c>
    </row>
    <row r="275" spans="2:2" x14ac:dyDescent="0.25">
      <c r="B275" s="37">
        <v>271</v>
      </c>
    </row>
    <row r="276" spans="2:2" x14ac:dyDescent="0.25">
      <c r="B276" s="37">
        <v>272</v>
      </c>
    </row>
    <row r="277" spans="2:2" x14ac:dyDescent="0.25">
      <c r="B277" s="37">
        <v>273</v>
      </c>
    </row>
    <row r="278" spans="2:2" x14ac:dyDescent="0.25">
      <c r="B278" s="37">
        <v>274</v>
      </c>
    </row>
    <row r="279" spans="2:2" x14ac:dyDescent="0.25">
      <c r="B279" s="37">
        <v>275</v>
      </c>
    </row>
    <row r="280" spans="2:2" x14ac:dyDescent="0.25">
      <c r="B280" s="37">
        <v>276</v>
      </c>
    </row>
    <row r="281" spans="2:2" x14ac:dyDescent="0.25">
      <c r="B281" s="37">
        <v>277</v>
      </c>
    </row>
    <row r="282" spans="2:2" x14ac:dyDescent="0.25">
      <c r="B282" s="37">
        <v>278</v>
      </c>
    </row>
    <row r="283" spans="2:2" x14ac:dyDescent="0.25">
      <c r="B283" s="37">
        <v>279</v>
      </c>
    </row>
    <row r="284" spans="2:2" x14ac:dyDescent="0.25">
      <c r="B284" s="37">
        <v>280</v>
      </c>
    </row>
    <row r="285" spans="2:2" x14ac:dyDescent="0.25">
      <c r="B285" s="37">
        <v>281</v>
      </c>
    </row>
    <row r="286" spans="2:2" x14ac:dyDescent="0.25">
      <c r="B286" s="37">
        <v>282</v>
      </c>
    </row>
    <row r="287" spans="2:2" x14ac:dyDescent="0.25">
      <c r="B287" s="37">
        <v>283</v>
      </c>
    </row>
    <row r="288" spans="2:2" x14ac:dyDescent="0.25">
      <c r="B288" s="37">
        <v>284</v>
      </c>
    </row>
    <row r="289" spans="2:2" x14ac:dyDescent="0.25">
      <c r="B289" s="37">
        <v>285</v>
      </c>
    </row>
    <row r="290" spans="2:2" x14ac:dyDescent="0.25">
      <c r="B290" s="37">
        <v>286</v>
      </c>
    </row>
    <row r="291" spans="2:2" x14ac:dyDescent="0.25">
      <c r="B291" s="37">
        <v>287</v>
      </c>
    </row>
    <row r="292" spans="2:2" x14ac:dyDescent="0.25">
      <c r="B292" s="37">
        <v>288</v>
      </c>
    </row>
    <row r="293" spans="2:2" x14ac:dyDescent="0.25">
      <c r="B293" s="37">
        <v>289</v>
      </c>
    </row>
    <row r="294" spans="2:2" x14ac:dyDescent="0.25">
      <c r="B294" s="37">
        <v>290</v>
      </c>
    </row>
    <row r="295" spans="2:2" x14ac:dyDescent="0.25">
      <c r="B295" s="37">
        <v>291</v>
      </c>
    </row>
    <row r="296" spans="2:2" x14ac:dyDescent="0.25">
      <c r="B296" s="37">
        <v>292</v>
      </c>
    </row>
    <row r="297" spans="2:2" x14ac:dyDescent="0.25">
      <c r="B297" s="37">
        <v>293</v>
      </c>
    </row>
    <row r="298" spans="2:2" x14ac:dyDescent="0.25">
      <c r="B298" s="37">
        <v>294</v>
      </c>
    </row>
    <row r="299" spans="2:2" x14ac:dyDescent="0.25">
      <c r="B299" s="37">
        <v>295</v>
      </c>
    </row>
    <row r="300" spans="2:2" x14ac:dyDescent="0.25">
      <c r="B300" s="37">
        <v>296</v>
      </c>
    </row>
    <row r="301" spans="2:2" x14ac:dyDescent="0.25">
      <c r="B301" s="37">
        <v>297</v>
      </c>
    </row>
    <row r="302" spans="2:2" x14ac:dyDescent="0.25">
      <c r="B302" s="37">
        <v>298</v>
      </c>
    </row>
    <row r="303" spans="2:2" x14ac:dyDescent="0.25">
      <c r="B303" s="37">
        <v>299</v>
      </c>
    </row>
    <row r="304" spans="2:2" x14ac:dyDescent="0.25">
      <c r="B304" s="37">
        <v>300</v>
      </c>
    </row>
    <row r="305" spans="2:2" x14ac:dyDescent="0.25">
      <c r="B305" s="37">
        <v>301</v>
      </c>
    </row>
    <row r="306" spans="2:2" x14ac:dyDescent="0.25">
      <c r="B306" s="37">
        <v>302</v>
      </c>
    </row>
    <row r="307" spans="2:2" x14ac:dyDescent="0.25">
      <c r="B307" s="37">
        <v>303</v>
      </c>
    </row>
    <row r="308" spans="2:2" x14ac:dyDescent="0.25">
      <c r="B308" s="37">
        <v>304</v>
      </c>
    </row>
    <row r="309" spans="2:2" x14ac:dyDescent="0.25">
      <c r="B309" s="37">
        <v>305</v>
      </c>
    </row>
    <row r="310" spans="2:2" x14ac:dyDescent="0.25">
      <c r="B310" s="37">
        <v>306</v>
      </c>
    </row>
    <row r="311" spans="2:2" x14ac:dyDescent="0.25">
      <c r="B311" s="37">
        <v>307</v>
      </c>
    </row>
    <row r="312" spans="2:2" x14ac:dyDescent="0.25">
      <c r="B312" s="37">
        <v>308</v>
      </c>
    </row>
    <row r="313" spans="2:2" x14ac:dyDescent="0.25">
      <c r="B313" s="37">
        <v>309</v>
      </c>
    </row>
    <row r="314" spans="2:2" x14ac:dyDescent="0.25">
      <c r="B314" s="37">
        <v>310</v>
      </c>
    </row>
    <row r="315" spans="2:2" x14ac:dyDescent="0.25">
      <c r="B315" s="37">
        <v>311</v>
      </c>
    </row>
    <row r="316" spans="2:2" x14ac:dyDescent="0.25">
      <c r="B316" s="37">
        <v>312</v>
      </c>
    </row>
    <row r="317" spans="2:2" x14ac:dyDescent="0.25">
      <c r="B317" s="37">
        <v>313</v>
      </c>
    </row>
    <row r="318" spans="2:2" x14ac:dyDescent="0.25">
      <c r="B318" s="37">
        <v>314</v>
      </c>
    </row>
    <row r="319" spans="2:2" x14ac:dyDescent="0.25">
      <c r="B319" s="37">
        <v>315</v>
      </c>
    </row>
    <row r="320" spans="2:2" x14ac:dyDescent="0.25">
      <c r="B320" s="37">
        <v>316</v>
      </c>
    </row>
    <row r="321" spans="2:2" x14ac:dyDescent="0.25">
      <c r="B321" s="37">
        <v>317</v>
      </c>
    </row>
    <row r="322" spans="2:2" x14ac:dyDescent="0.25">
      <c r="B322" s="37">
        <v>318</v>
      </c>
    </row>
    <row r="323" spans="2:2" x14ac:dyDescent="0.25">
      <c r="B323" s="37">
        <v>319</v>
      </c>
    </row>
    <row r="324" spans="2:2" x14ac:dyDescent="0.25">
      <c r="B324" s="37">
        <v>320</v>
      </c>
    </row>
    <row r="325" spans="2:2" x14ac:dyDescent="0.25">
      <c r="B325" s="37">
        <v>321</v>
      </c>
    </row>
    <row r="326" spans="2:2" x14ac:dyDescent="0.25">
      <c r="B326" s="37">
        <v>322</v>
      </c>
    </row>
    <row r="327" spans="2:2" x14ac:dyDescent="0.25">
      <c r="B327" s="37">
        <v>323</v>
      </c>
    </row>
    <row r="328" spans="2:2" x14ac:dyDescent="0.25">
      <c r="B328" s="37">
        <v>324</v>
      </c>
    </row>
    <row r="329" spans="2:2" x14ac:dyDescent="0.25">
      <c r="B329" s="37">
        <v>325</v>
      </c>
    </row>
    <row r="330" spans="2:2" x14ac:dyDescent="0.25">
      <c r="B330" s="37">
        <v>326</v>
      </c>
    </row>
    <row r="331" spans="2:2" x14ac:dyDescent="0.25">
      <c r="B331" s="37">
        <v>327</v>
      </c>
    </row>
    <row r="332" spans="2:2" x14ac:dyDescent="0.25">
      <c r="B332" s="37">
        <v>328</v>
      </c>
    </row>
    <row r="333" spans="2:2" x14ac:dyDescent="0.25">
      <c r="B333" s="37">
        <v>329</v>
      </c>
    </row>
    <row r="334" spans="2:2" x14ac:dyDescent="0.25">
      <c r="B334" s="37">
        <v>330</v>
      </c>
    </row>
    <row r="335" spans="2:2" x14ac:dyDescent="0.25">
      <c r="B335" s="37">
        <v>331</v>
      </c>
    </row>
    <row r="336" spans="2:2" x14ac:dyDescent="0.25">
      <c r="B336" s="37">
        <v>332</v>
      </c>
    </row>
    <row r="337" spans="2:2" x14ac:dyDescent="0.25">
      <c r="B337" s="37">
        <v>333</v>
      </c>
    </row>
    <row r="338" spans="2:2" x14ac:dyDescent="0.25">
      <c r="B338" s="37">
        <v>334</v>
      </c>
    </row>
    <row r="339" spans="2:2" x14ac:dyDescent="0.25">
      <c r="B339" s="37">
        <v>335</v>
      </c>
    </row>
    <row r="340" spans="2:2" x14ac:dyDescent="0.25">
      <c r="B340" s="37">
        <v>336</v>
      </c>
    </row>
    <row r="341" spans="2:2" x14ac:dyDescent="0.25">
      <c r="B341" s="37">
        <v>337</v>
      </c>
    </row>
    <row r="342" spans="2:2" x14ac:dyDescent="0.25">
      <c r="B342" s="37">
        <v>338</v>
      </c>
    </row>
    <row r="343" spans="2:2" x14ac:dyDescent="0.25">
      <c r="B343" s="37">
        <v>339</v>
      </c>
    </row>
    <row r="344" spans="2:2" x14ac:dyDescent="0.25">
      <c r="B344" s="37">
        <v>340</v>
      </c>
    </row>
    <row r="345" spans="2:2" x14ac:dyDescent="0.25">
      <c r="B345" s="37">
        <v>341</v>
      </c>
    </row>
    <row r="346" spans="2:2" x14ac:dyDescent="0.25">
      <c r="B346" s="37">
        <v>342</v>
      </c>
    </row>
    <row r="347" spans="2:2" x14ac:dyDescent="0.25">
      <c r="B347" s="37">
        <v>343</v>
      </c>
    </row>
    <row r="348" spans="2:2" x14ac:dyDescent="0.25">
      <c r="B348" s="37">
        <v>344</v>
      </c>
    </row>
    <row r="349" spans="2:2" x14ac:dyDescent="0.25">
      <c r="B349" s="37">
        <v>345</v>
      </c>
    </row>
    <row r="350" spans="2:2" x14ac:dyDescent="0.25">
      <c r="B350" s="37">
        <v>346</v>
      </c>
    </row>
    <row r="351" spans="2:2" x14ac:dyDescent="0.25">
      <c r="B351" s="37">
        <v>347</v>
      </c>
    </row>
    <row r="352" spans="2:2" x14ac:dyDescent="0.25">
      <c r="B352" s="37">
        <v>348</v>
      </c>
    </row>
    <row r="353" spans="2:2" x14ac:dyDescent="0.25">
      <c r="B353" s="37">
        <v>349</v>
      </c>
    </row>
    <row r="354" spans="2:2" x14ac:dyDescent="0.25">
      <c r="B354" s="37">
        <v>350</v>
      </c>
    </row>
  </sheetData>
  <mergeCells count="2">
    <mergeCell ref="R25:T25"/>
    <mergeCell ref="R34:T34"/>
  </mergeCells>
  <conditionalFormatting sqref="E8:E198">
    <cfRule type="cellIs" dxfId="0" priority="1" operator="greaterThan">
      <formula>K8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61C2CA-4377-422B-9C5A-B2754941C32D}">
  <sheetPr>
    <tabColor rgb="FF92D050"/>
  </sheetPr>
  <dimension ref="A1:T62"/>
  <sheetViews>
    <sheetView zoomScale="85" zoomScaleNormal="85" workbookViewId="0">
      <selection activeCell="H11" sqref="H11"/>
    </sheetView>
  </sheetViews>
  <sheetFormatPr defaultRowHeight="15" x14ac:dyDescent="0.25"/>
  <cols>
    <col min="1" max="1" width="26.140625" customWidth="1"/>
    <col min="9" max="9" width="17" customWidth="1"/>
    <col min="15" max="15" width="15.85546875" customWidth="1"/>
  </cols>
  <sheetData>
    <row r="1" spans="1:20" x14ac:dyDescent="0.25">
      <c r="C1" s="63" t="s">
        <v>72</v>
      </c>
      <c r="D1" s="64"/>
      <c r="E1" s="64"/>
      <c r="F1" s="64"/>
      <c r="G1" s="64"/>
      <c r="K1" s="63" t="s">
        <v>71</v>
      </c>
      <c r="L1" s="64"/>
      <c r="M1" s="64"/>
      <c r="Q1" s="63" t="s">
        <v>73</v>
      </c>
      <c r="R1" s="64"/>
      <c r="S1" s="64"/>
    </row>
    <row r="2" spans="1:20" s="68" customFormat="1" ht="30" x14ac:dyDescent="0.25">
      <c r="A2" s="61" t="s">
        <v>48</v>
      </c>
      <c r="B2" s="61" t="s">
        <v>63</v>
      </c>
      <c r="C2" s="61" t="s">
        <v>64</v>
      </c>
      <c r="D2" s="61" t="s">
        <v>65</v>
      </c>
      <c r="E2" s="61" t="s">
        <v>68</v>
      </c>
      <c r="F2" s="61" t="s">
        <v>67</v>
      </c>
      <c r="G2" s="61" t="s">
        <v>66</v>
      </c>
      <c r="I2" s="61" t="s">
        <v>48</v>
      </c>
      <c r="J2" s="61" t="s">
        <v>63</v>
      </c>
      <c r="K2" s="61" t="s">
        <v>44</v>
      </c>
      <c r="L2" s="61" t="s">
        <v>46</v>
      </c>
      <c r="M2" s="61" t="s">
        <v>6</v>
      </c>
      <c r="O2" s="61" t="s">
        <v>48</v>
      </c>
      <c r="P2" s="61" t="s">
        <v>63</v>
      </c>
      <c r="Q2" s="61" t="s">
        <v>45</v>
      </c>
      <c r="R2" s="61" t="s">
        <v>46</v>
      </c>
      <c r="S2" s="61" t="s">
        <v>6</v>
      </c>
    </row>
    <row r="3" spans="1:20" x14ac:dyDescent="0.25">
      <c r="A3" s="65">
        <v>1</v>
      </c>
      <c r="B3" s="62">
        <v>75</v>
      </c>
      <c r="C3" s="60"/>
      <c r="D3" s="60"/>
      <c r="E3" s="60">
        <f>'BEP-DH_ASHP'!S7</f>
        <v>50</v>
      </c>
      <c r="F3" s="60"/>
      <c r="G3" s="60">
        <f>'BEP-DH_AN'!R7</f>
        <v>48</v>
      </c>
      <c r="I3" s="65">
        <v>1</v>
      </c>
      <c r="J3" s="62">
        <v>75</v>
      </c>
      <c r="K3" s="60">
        <f>IF(AND(C3=0,E3=0),10,IF(C3=0,E3,IF(C3&gt;1,C3,0)))</f>
        <v>50</v>
      </c>
      <c r="L3" s="60">
        <f>IF(C3=1,G3,IF(C3&gt;1,G3-C3,0))</f>
        <v>0</v>
      </c>
      <c r="M3" s="60">
        <f>IF(AND(C3=0,E3=0),0,10)</f>
        <v>10</v>
      </c>
      <c r="O3" s="65">
        <v>1</v>
      </c>
      <c r="P3" s="62">
        <v>75</v>
      </c>
      <c r="Q3" s="60">
        <f>IF(AND(D3=0,F3=0),10,IF(D3=0,F3,IF(D3&gt;1,D3,0)))</f>
        <v>10</v>
      </c>
      <c r="R3" s="60">
        <f>IF(D3=1,G3,IF(D3&gt;1,G3-D3,0))</f>
        <v>0</v>
      </c>
      <c r="S3" s="60">
        <f>IF(AND(D3=0,F3=0),0,10)</f>
        <v>0</v>
      </c>
      <c r="T3" s="55"/>
    </row>
    <row r="4" spans="1:20" x14ac:dyDescent="0.25">
      <c r="A4" s="66"/>
      <c r="B4" s="62">
        <v>50</v>
      </c>
      <c r="C4" s="60"/>
      <c r="D4" s="60"/>
      <c r="E4" s="60">
        <f>'BEP-DH_ASHP'!S8</f>
        <v>63</v>
      </c>
      <c r="F4" s="60"/>
      <c r="G4" s="60">
        <f>'BEP-DH_AN'!R8</f>
        <v>53</v>
      </c>
      <c r="I4" s="66"/>
      <c r="J4" s="62">
        <v>50</v>
      </c>
      <c r="K4" s="60">
        <f>IF(AND(C4=0,E4=0),10,IF(C4=0,E4,IF(C4&gt;1,C4,0)))</f>
        <v>63</v>
      </c>
      <c r="L4" s="60">
        <f>IF(C4=1,G4,IF(C4&gt;1,G4-C4,0))</f>
        <v>0</v>
      </c>
      <c r="M4" s="60">
        <f>IF(AND(C4=0,E4=0),0,10)</f>
        <v>10</v>
      </c>
      <c r="O4" s="66"/>
      <c r="P4" s="62">
        <v>50</v>
      </c>
      <c r="Q4" s="60">
        <f>IF(AND(D4=0,F4=0),10,IF(D4=0,F4,IF(D4&gt;1,D4,0)))</f>
        <v>10</v>
      </c>
      <c r="R4" s="60">
        <f>IF(D4=1,G4,IF(D4&gt;1,G4-D4,0))</f>
        <v>0</v>
      </c>
      <c r="S4" s="60">
        <f>IF(AND(D4=0,F4=0),0,10)</f>
        <v>0</v>
      </c>
      <c r="T4" s="55"/>
    </row>
    <row r="5" spans="1:20" x14ac:dyDescent="0.25">
      <c r="A5" s="66"/>
      <c r="B5" s="62">
        <v>35</v>
      </c>
      <c r="C5" s="60"/>
      <c r="D5" s="60"/>
      <c r="E5" s="60">
        <f>'BEP-DH_ASHP'!S9</f>
        <v>106</v>
      </c>
      <c r="F5" s="60"/>
      <c r="G5" s="60">
        <f>'BEP-DH_AN'!R9</f>
        <v>59</v>
      </c>
      <c r="I5" s="66"/>
      <c r="J5" s="62">
        <v>35</v>
      </c>
      <c r="K5" s="60">
        <f>IF(AND(C5=0,E5=0),10,IF(C5=0,E5,IF(C5&gt;1,C5,0)))</f>
        <v>106</v>
      </c>
      <c r="L5" s="60">
        <f>IF(C5=1,G5,IF(C5&gt;1,G5-C5,0))</f>
        <v>0</v>
      </c>
      <c r="M5" s="60">
        <f>IF(AND(C5=0,E5=0),0,10)</f>
        <v>10</v>
      </c>
      <c r="O5" s="66"/>
      <c r="P5" s="62">
        <v>35</v>
      </c>
      <c r="Q5" s="60">
        <f>IF(AND(D5=0,F5=0),10,IF(D5=0,F5,IF(D5&gt;1,D5,0)))</f>
        <v>10</v>
      </c>
      <c r="R5" s="60">
        <f>IF(D5=1,G5,IF(D5&gt;1,G5-D5,0))</f>
        <v>0</v>
      </c>
      <c r="S5" s="60">
        <f>IF(AND(D5=0,F5=0),0,10)</f>
        <v>0</v>
      </c>
      <c r="T5" s="55"/>
    </row>
    <row r="6" spans="1:20" x14ac:dyDescent="0.25">
      <c r="A6" s="66"/>
      <c r="B6" s="62">
        <v>25</v>
      </c>
      <c r="C6" s="60"/>
      <c r="D6" s="60"/>
      <c r="E6" s="60"/>
      <c r="F6" s="60"/>
      <c r="G6" s="60">
        <f>'BEP-DH_AN'!R10</f>
        <v>67</v>
      </c>
      <c r="I6" s="66"/>
      <c r="J6" s="62">
        <v>25</v>
      </c>
      <c r="K6" s="60">
        <f>IF(AND(C6=0,E6=0),10,IF(C6=0,E6,IF(C6&gt;1,C6,0)))</f>
        <v>10</v>
      </c>
      <c r="L6" s="60">
        <f>IF(C6=1,G6,IF(C6&gt;1,G6-C6,0))</f>
        <v>0</v>
      </c>
      <c r="M6" s="60">
        <f>IF(AND(C6=0,E6=0),0,10)</f>
        <v>0</v>
      </c>
      <c r="O6" s="66"/>
      <c r="P6" s="62">
        <v>25</v>
      </c>
      <c r="Q6" s="60">
        <f>IF(AND(D6=0,F6=0),10,IF(D6=0,F6,IF(D6&gt;1,D6,0)))</f>
        <v>10</v>
      </c>
      <c r="R6" s="60">
        <f>IF(D6=1,G6,IF(D6&gt;1,G6-D6,0))</f>
        <v>0</v>
      </c>
      <c r="S6" s="60">
        <f>IF(AND(D6=0,F6=0),0,10)</f>
        <v>0</v>
      </c>
      <c r="T6" s="55"/>
    </row>
    <row r="7" spans="1:20" x14ac:dyDescent="0.25">
      <c r="A7" s="67"/>
      <c r="B7" s="62">
        <v>10</v>
      </c>
      <c r="C7" s="60"/>
      <c r="D7" s="60"/>
      <c r="E7" s="60"/>
      <c r="F7" s="60"/>
      <c r="G7" s="60">
        <f>'BEP-DH_AN'!R11</f>
        <v>158</v>
      </c>
      <c r="I7" s="67"/>
      <c r="J7" s="62">
        <v>10</v>
      </c>
      <c r="K7" s="60">
        <f>IF(AND(C7=0,E7=0),10,IF(C7=0,E7,IF(C7&gt;1,C7,0)))</f>
        <v>10</v>
      </c>
      <c r="L7" s="60">
        <f>IF(C7=1,G7,IF(C7&gt;1,G7-C7,0))</f>
        <v>0</v>
      </c>
      <c r="M7" s="60">
        <f>IF(AND(C7=0,E7=0),0,10)</f>
        <v>0</v>
      </c>
      <c r="O7" s="67"/>
      <c r="P7" s="62">
        <v>10</v>
      </c>
      <c r="Q7" s="60">
        <f>IF(AND(D7=0,F7=0),10,IF(D7=0,F7,IF(D7&gt;1,D7,0)))</f>
        <v>10</v>
      </c>
      <c r="R7" s="60">
        <f>IF(D7=1,G7,IF(D7&gt;1,G7-D7,0))</f>
        <v>0</v>
      </c>
      <c r="S7" s="60">
        <f>IF(AND(D7=0,F7=0),0,10)</f>
        <v>0</v>
      </c>
      <c r="T7" s="55"/>
    </row>
    <row r="8" spans="1:20" x14ac:dyDescent="0.25">
      <c r="A8" s="65">
        <v>3</v>
      </c>
      <c r="B8" s="62">
        <v>75</v>
      </c>
      <c r="C8" s="60"/>
      <c r="D8" s="60"/>
      <c r="E8" s="60">
        <f>'BEP-DH_ASHP'!T7</f>
        <v>19</v>
      </c>
      <c r="F8" s="60"/>
      <c r="G8" s="60">
        <f>'BEP-DH_AN'!S7</f>
        <v>36</v>
      </c>
      <c r="I8" s="65">
        <v>3</v>
      </c>
      <c r="J8" s="62">
        <v>75</v>
      </c>
      <c r="K8" s="60">
        <f>IF(AND(C8=0,E8=0),10,IF(C8=0,E8,IF(C8&gt;1,C8,0)))</f>
        <v>19</v>
      </c>
      <c r="L8" s="60">
        <f>IF(C8=1,G8,IF(C8&gt;1,G8-C8,0))</f>
        <v>0</v>
      </c>
      <c r="M8" s="60">
        <f>IF(AND(C8=0,E8=0),0,10)</f>
        <v>10</v>
      </c>
      <c r="O8" s="65">
        <v>3</v>
      </c>
      <c r="P8" s="62">
        <v>75</v>
      </c>
      <c r="Q8" s="60">
        <f>IF(AND(D8=0,F8=0),10,IF(D8=0,F8,IF(D8&gt;1,D8,0)))</f>
        <v>10</v>
      </c>
      <c r="R8" s="60">
        <f>IF(D8=1,G8,IF(D8&gt;1,G8-D8,0))</f>
        <v>0</v>
      </c>
      <c r="S8" s="60">
        <f>IF(AND(D8=0,F8=0),0,10)</f>
        <v>0</v>
      </c>
    </row>
    <row r="9" spans="1:20" x14ac:dyDescent="0.25">
      <c r="A9" s="66"/>
      <c r="B9" s="62">
        <v>50</v>
      </c>
      <c r="C9" s="60"/>
      <c r="D9" s="60"/>
      <c r="E9" s="60">
        <f>'BEP-DH_ASHP'!T8</f>
        <v>21</v>
      </c>
      <c r="F9" s="60"/>
      <c r="G9" s="60">
        <f>'BEP-DH_AN'!S8</f>
        <v>38</v>
      </c>
      <c r="I9" s="66"/>
      <c r="J9" s="62">
        <v>50</v>
      </c>
      <c r="K9" s="60">
        <f>IF(AND(C9=0,E9=0),10,IF(C9=0,E9,IF(C9&gt;1,C9,0)))</f>
        <v>21</v>
      </c>
      <c r="L9" s="60">
        <f>IF(C9=1,G9,IF(C9&gt;1,G9-C9,0))</f>
        <v>0</v>
      </c>
      <c r="M9" s="60">
        <f>IF(AND(C9=0,E9=0),0,10)</f>
        <v>10</v>
      </c>
      <c r="O9" s="66"/>
      <c r="P9" s="62">
        <v>50</v>
      </c>
      <c r="Q9" s="60">
        <f>IF(AND(D9=0,F9=0),10,IF(D9=0,F9,IF(D9&gt;1,D9,0)))</f>
        <v>10</v>
      </c>
      <c r="R9" s="60">
        <f>IF(D9=1,G9,IF(D9&gt;1,G9-D9,0))</f>
        <v>0</v>
      </c>
      <c r="S9" s="60">
        <f>IF(AND(D9=0,F9=0),0,10)</f>
        <v>0</v>
      </c>
    </row>
    <row r="10" spans="1:20" x14ac:dyDescent="0.25">
      <c r="A10" s="66"/>
      <c r="B10" s="62">
        <v>35</v>
      </c>
      <c r="C10" s="60"/>
      <c r="D10" s="60"/>
      <c r="E10" s="60">
        <f>'BEP-DH_ASHP'!T9</f>
        <v>24</v>
      </c>
      <c r="F10" s="60"/>
      <c r="G10" s="60">
        <f>'BEP-DH_AN'!S9</f>
        <v>42</v>
      </c>
      <c r="I10" s="66"/>
      <c r="J10" s="62">
        <v>35</v>
      </c>
      <c r="K10" s="60">
        <f>IF(AND(C10=0,E10=0),10,IF(C10=0,E10,IF(C10&gt;1,C10,0)))</f>
        <v>24</v>
      </c>
      <c r="L10" s="60">
        <f>IF(C10=1,G10,IF(C10&gt;1,G10-C10,0))</f>
        <v>0</v>
      </c>
      <c r="M10" s="60">
        <f>IF(AND(C10=0,E10=0),0,10)</f>
        <v>10</v>
      </c>
      <c r="O10" s="66"/>
      <c r="P10" s="62">
        <v>35</v>
      </c>
      <c r="Q10" s="60">
        <f>IF(AND(D10=0,F10=0),10,IF(D10=0,F10,IF(D10&gt;1,D10,0)))</f>
        <v>10</v>
      </c>
      <c r="R10" s="60">
        <f>IF(D10=1,G10,IF(D10&gt;1,G10-D10,0))</f>
        <v>0</v>
      </c>
      <c r="S10" s="60">
        <f>IF(AND(D10=0,F10=0),0,10)</f>
        <v>0</v>
      </c>
    </row>
    <row r="11" spans="1:20" x14ac:dyDescent="0.25">
      <c r="A11" s="66"/>
      <c r="B11" s="62">
        <v>25</v>
      </c>
      <c r="C11" s="60"/>
      <c r="D11" s="60"/>
      <c r="E11" s="60">
        <f>'BEP-DH_ASHP'!T10</f>
        <v>29</v>
      </c>
      <c r="F11" s="60"/>
      <c r="G11" s="60">
        <f>'BEP-DH_AN'!S10</f>
        <v>46</v>
      </c>
      <c r="I11" s="66"/>
      <c r="J11" s="62">
        <v>25</v>
      </c>
      <c r="K11" s="60">
        <f>IF(AND(C11=0,E11=0),10,IF(C11=0,E11,IF(C11&gt;1,C11,0)))</f>
        <v>29</v>
      </c>
      <c r="L11" s="60">
        <f>IF(C11=1,G11,IF(C11&gt;1,G11-C11,0))</f>
        <v>0</v>
      </c>
      <c r="M11" s="60">
        <f>IF(AND(C11=0,E11=0),0,10)</f>
        <v>10</v>
      </c>
      <c r="O11" s="66"/>
      <c r="P11" s="62">
        <v>25</v>
      </c>
      <c r="Q11" s="60">
        <f>IF(AND(D11=0,F11=0),10,IF(D11=0,F11,IF(D11&gt;1,D11,0)))</f>
        <v>10</v>
      </c>
      <c r="R11" s="60">
        <f>IF(D11=1,G11,IF(D11&gt;1,G11-D11,0))</f>
        <v>0</v>
      </c>
      <c r="S11" s="60">
        <f>IF(AND(D11=0,F11=0),0,10)</f>
        <v>0</v>
      </c>
    </row>
    <row r="12" spans="1:20" x14ac:dyDescent="0.25">
      <c r="A12" s="67"/>
      <c r="B12" s="62">
        <v>10</v>
      </c>
      <c r="C12" s="60"/>
      <c r="D12" s="60"/>
      <c r="E12" s="60">
        <f>'BEP-DH_ASHP'!T11</f>
        <v>143</v>
      </c>
      <c r="F12" s="60"/>
      <c r="G12" s="60">
        <f>'BEP-DH_AN'!S11</f>
        <v>77</v>
      </c>
      <c r="I12" s="67"/>
      <c r="J12" s="62">
        <v>10</v>
      </c>
      <c r="K12" s="60">
        <f>IF(AND(C12=0,E12=0),10,IF(C12=0,E12,IF(C12&gt;1,C12,0)))</f>
        <v>143</v>
      </c>
      <c r="L12" s="60">
        <f>IF(C12=1,G12,IF(C12&gt;1,G12-C12,0))</f>
        <v>0</v>
      </c>
      <c r="M12" s="60">
        <f>IF(AND(C12=0,E12=0),0,10)</f>
        <v>10</v>
      </c>
      <c r="O12" s="67"/>
      <c r="P12" s="62">
        <v>10</v>
      </c>
      <c r="Q12" s="60">
        <f>IF(AND(D12=0,F12=0),10,IF(D12=0,F12,IF(D12&gt;1,D12,0)))</f>
        <v>10</v>
      </c>
      <c r="R12" s="60">
        <f>IF(D12=1,G12,IF(D12&gt;1,G12-D12,0))</f>
        <v>0</v>
      </c>
      <c r="S12" s="60">
        <f>IF(AND(D12=0,F12=0),0,10)</f>
        <v>0</v>
      </c>
    </row>
    <row r="13" spans="1:20" x14ac:dyDescent="0.25">
      <c r="A13" s="65">
        <v>5</v>
      </c>
      <c r="B13" s="62">
        <v>75</v>
      </c>
      <c r="C13" s="60">
        <v>1</v>
      </c>
      <c r="D13" s="60"/>
      <c r="E13" s="60">
        <f>'BEP-DH_ASHP'!U7</f>
        <v>10</v>
      </c>
      <c r="F13" s="60">
        <v>65</v>
      </c>
      <c r="G13" s="60">
        <f>'BEP-DH_AN'!T7</f>
        <v>29</v>
      </c>
      <c r="I13" s="65">
        <v>5</v>
      </c>
      <c r="J13" s="62">
        <v>75</v>
      </c>
      <c r="K13" s="60">
        <f>IF(AND(C13=0,E13=0),10,IF(C13=0,E13,IF(C13&gt;1,C13,0)))</f>
        <v>0</v>
      </c>
      <c r="L13" s="60">
        <f>IF(C13=1,G13,IF(C13&gt;1,G13-C13,0))</f>
        <v>29</v>
      </c>
      <c r="M13" s="60">
        <f>IF(AND(C13=0,E13=0),0,10)</f>
        <v>10</v>
      </c>
      <c r="O13" s="65">
        <v>5</v>
      </c>
      <c r="P13" s="62">
        <v>75</v>
      </c>
      <c r="Q13" s="60">
        <f>IF(AND(D13=0,F13=0),10,IF(D13=0,F13,IF(D13&gt;1,D13,0)))</f>
        <v>65</v>
      </c>
      <c r="R13" s="60">
        <f>IF(D13=1,G13,IF(D13&gt;1,G13-D13,0))</f>
        <v>0</v>
      </c>
      <c r="S13" s="60">
        <f>IF(AND(D13=0,F13=0),0,10)</f>
        <v>10</v>
      </c>
    </row>
    <row r="14" spans="1:20" x14ac:dyDescent="0.25">
      <c r="A14" s="66"/>
      <c r="B14" s="62">
        <v>50</v>
      </c>
      <c r="C14" s="60">
        <v>1</v>
      </c>
      <c r="D14" s="60"/>
      <c r="E14" s="60">
        <f>'BEP-DH_ASHP'!U8</f>
        <v>11</v>
      </c>
      <c r="F14" s="60">
        <v>109</v>
      </c>
      <c r="G14" s="60">
        <f>'BEP-DH_AN'!T$8</f>
        <v>31</v>
      </c>
      <c r="I14" s="66"/>
      <c r="J14" s="62">
        <v>50</v>
      </c>
      <c r="K14" s="60">
        <f>IF(AND(C14=0,E14=0),10,IF(C14=0,E14,IF(C14&gt;1,C14,0)))</f>
        <v>0</v>
      </c>
      <c r="L14" s="60">
        <f>IF(C14=1,G14,IF(C14&gt;1,G14-C14,0))</f>
        <v>31</v>
      </c>
      <c r="M14" s="60">
        <f>IF(AND(C14=0,E14=0),0,10)</f>
        <v>10</v>
      </c>
      <c r="O14" s="66"/>
      <c r="P14" s="62">
        <v>50</v>
      </c>
      <c r="Q14" s="60">
        <f>IF(AND(D14=0,F14=0),10,IF(D14=0,F14,IF(D14&gt;1,D14,0)))</f>
        <v>109</v>
      </c>
      <c r="R14" s="60">
        <f>IF(D14=1,G14,IF(D14&gt;1,G14-D14,0))</f>
        <v>0</v>
      </c>
      <c r="S14" s="60">
        <f>IF(AND(D14=0,F14=0),0,10)</f>
        <v>10</v>
      </c>
    </row>
    <row r="15" spans="1:20" x14ac:dyDescent="0.25">
      <c r="A15" s="66"/>
      <c r="B15" s="62">
        <v>35</v>
      </c>
      <c r="C15" s="60">
        <v>1</v>
      </c>
      <c r="D15" s="60"/>
      <c r="E15" s="60">
        <f>'BEP-DH_ASHP'!U9</f>
        <v>11</v>
      </c>
      <c r="F15" s="60"/>
      <c r="G15" s="60">
        <f>'BEP-DH_AN'!T$9</f>
        <v>33</v>
      </c>
      <c r="I15" s="66"/>
      <c r="J15" s="62">
        <v>35</v>
      </c>
      <c r="K15" s="60">
        <f>IF(AND(C15=0,E15=0),10,IF(C15=0,E15,IF(C15&gt;1,C15,0)))</f>
        <v>0</v>
      </c>
      <c r="L15" s="60">
        <f>IF(C15=1,G15,IF(C15&gt;1,G15-C15,0))</f>
        <v>33</v>
      </c>
      <c r="M15" s="60">
        <f>IF(AND(C15=0,E15=0),0,10)</f>
        <v>10</v>
      </c>
      <c r="O15" s="66"/>
      <c r="P15" s="62">
        <v>35</v>
      </c>
      <c r="Q15" s="60">
        <f>IF(AND(D15=0,F15=0),10,IF(D15=0,F15,IF(D15&gt;1,D15,0)))</f>
        <v>10</v>
      </c>
      <c r="R15" s="60">
        <f>IF(D15=1,G15,IF(D15&gt;1,G15-D15,0))</f>
        <v>0</v>
      </c>
      <c r="S15" s="60">
        <f>IF(AND(D15=0,F15=0),0,10)</f>
        <v>0</v>
      </c>
    </row>
    <row r="16" spans="1:20" x14ac:dyDescent="0.25">
      <c r="A16" s="66"/>
      <c r="B16" s="62">
        <v>25</v>
      </c>
      <c r="C16" s="60">
        <v>1</v>
      </c>
      <c r="D16" s="60"/>
      <c r="E16" s="60">
        <f>'BEP-DH_ASHP'!U10</f>
        <v>12</v>
      </c>
      <c r="F16" s="60"/>
      <c r="G16" s="60">
        <f>'BEP-DH_AN'!T$10</f>
        <v>35</v>
      </c>
      <c r="I16" s="66"/>
      <c r="J16" s="62">
        <v>25</v>
      </c>
      <c r="K16" s="60">
        <f>IF(AND(C16=0,E16=0),10,IF(C16=0,E16,IF(C16&gt;1,C16,0)))</f>
        <v>0</v>
      </c>
      <c r="L16" s="60">
        <f>IF(C16=1,G16,IF(C16&gt;1,G16-C16,0))</f>
        <v>35</v>
      </c>
      <c r="M16" s="60">
        <f>IF(AND(C16=0,E16=0),0,10)</f>
        <v>10</v>
      </c>
      <c r="O16" s="66"/>
      <c r="P16" s="62">
        <v>25</v>
      </c>
      <c r="Q16" s="60">
        <f>IF(AND(D16=0,F16=0),10,IF(D16=0,F16,IF(D16&gt;1,D16,0)))</f>
        <v>10</v>
      </c>
      <c r="R16" s="60">
        <f>IF(D16=1,G16,IF(D16&gt;1,G16-D16,0))</f>
        <v>0</v>
      </c>
      <c r="S16" s="60">
        <f>IF(AND(D16=0,F16=0),0,10)</f>
        <v>0</v>
      </c>
    </row>
    <row r="17" spans="1:19" x14ac:dyDescent="0.25">
      <c r="A17" s="67"/>
      <c r="B17" s="62">
        <v>10</v>
      </c>
      <c r="C17" s="60"/>
      <c r="D17" s="60"/>
      <c r="E17" s="60">
        <f>'BEP-DH_ASHP'!U11</f>
        <v>18</v>
      </c>
      <c r="F17" s="60"/>
      <c r="G17" s="60">
        <f>'BEP-DH_AN'!T$11</f>
        <v>51</v>
      </c>
      <c r="I17" s="67"/>
      <c r="J17" s="62">
        <v>10</v>
      </c>
      <c r="K17" s="60">
        <f>IF(AND(C17=0,E17=0),10,IF(C17=0,E17,IF(C17&gt;1,C17,0)))</f>
        <v>18</v>
      </c>
      <c r="L17" s="60">
        <f>IF(C17=1,G17,IF(C17&gt;1,G17-C17,0))</f>
        <v>0</v>
      </c>
      <c r="M17" s="60">
        <f>IF(AND(C17=0,E17=0),0,10)</f>
        <v>10</v>
      </c>
      <c r="O17" s="67"/>
      <c r="P17" s="62">
        <v>10</v>
      </c>
      <c r="Q17" s="60">
        <f>IF(AND(D17=0,F17=0),10,IF(D17=0,F17,IF(D17&gt;1,D17,0)))</f>
        <v>10</v>
      </c>
      <c r="R17" s="60">
        <f>IF(D17=1,G17,IF(D17&gt;1,G17-D17,0))</f>
        <v>0</v>
      </c>
      <c r="S17" s="60">
        <f>IF(AND(D17=0,F17=0),0,10)</f>
        <v>0</v>
      </c>
    </row>
    <row r="18" spans="1:19" x14ac:dyDescent="0.25">
      <c r="A18" s="65">
        <v>8</v>
      </c>
      <c r="B18" s="62">
        <v>75</v>
      </c>
      <c r="C18" s="60">
        <v>1</v>
      </c>
      <c r="D18" s="60"/>
      <c r="E18" s="60">
        <f>'BEP-DH_ASHP'!U7</f>
        <v>10</v>
      </c>
      <c r="F18" s="60">
        <v>25</v>
      </c>
      <c r="G18" s="60">
        <f>'BEP-DH_AN'!U$7</f>
        <v>22</v>
      </c>
      <c r="I18" s="65">
        <v>8</v>
      </c>
      <c r="J18" s="62">
        <v>75</v>
      </c>
      <c r="K18" s="60">
        <f>IF(AND(C18=0,E18=0),10,IF(C18=0,E18,IF(C18&gt;1,C18,0)))</f>
        <v>0</v>
      </c>
      <c r="L18" s="60">
        <f>IF(C18=1,G18,IF(C18&gt;1,G18-C18,0))</f>
        <v>22</v>
      </c>
      <c r="M18" s="60">
        <f>IF(AND(C18=0,E18=0),0,10)</f>
        <v>10</v>
      </c>
      <c r="O18" s="65">
        <v>8</v>
      </c>
      <c r="P18" s="62">
        <v>75</v>
      </c>
      <c r="Q18" s="60">
        <f>IF(AND(D18=0,F18=0),10,IF(D18=0,F18,IF(D18&gt;1,D18,0)))</f>
        <v>25</v>
      </c>
      <c r="R18" s="60">
        <f>IF(D18=1,G18,IF(D18&gt;1,G18-D18,0))</f>
        <v>0</v>
      </c>
      <c r="S18" s="60">
        <f>IF(AND(D18=0,F18=0),0,10)</f>
        <v>10</v>
      </c>
    </row>
    <row r="19" spans="1:19" x14ac:dyDescent="0.25">
      <c r="A19" s="66"/>
      <c r="B19" s="62">
        <v>50</v>
      </c>
      <c r="C19" s="60">
        <v>1</v>
      </c>
      <c r="D19" s="60"/>
      <c r="E19" s="60">
        <f>'BEP-DH_ASHP'!U8</f>
        <v>11</v>
      </c>
      <c r="F19" s="60">
        <v>29</v>
      </c>
      <c r="G19" s="60">
        <f>'BEP-DH_AN'!U$8</f>
        <v>23</v>
      </c>
      <c r="I19" s="66"/>
      <c r="J19" s="62">
        <v>50</v>
      </c>
      <c r="K19" s="60">
        <f>IF(AND(C19=0,E19=0),10,IF(C19=0,E19,IF(C19&gt;1,C19,0)))</f>
        <v>0</v>
      </c>
      <c r="L19" s="60">
        <f>IF(C19=1,G19,IF(C19&gt;1,G19-C19,0))</f>
        <v>23</v>
      </c>
      <c r="M19" s="60">
        <f>IF(AND(C19=0,E19=0),0,10)</f>
        <v>10</v>
      </c>
      <c r="O19" s="66"/>
      <c r="P19" s="62">
        <v>50</v>
      </c>
      <c r="Q19" s="60">
        <f>IF(AND(D19=0,F19=0),10,IF(D19=0,F19,IF(D19&gt;1,D19,0)))</f>
        <v>29</v>
      </c>
      <c r="R19" s="60">
        <f>IF(D19=1,G19,IF(D19&gt;1,G19-D19,0))</f>
        <v>0</v>
      </c>
      <c r="S19" s="60">
        <f>IF(AND(D19=0,F19=0),0,10)</f>
        <v>10</v>
      </c>
    </row>
    <row r="20" spans="1:19" x14ac:dyDescent="0.25">
      <c r="A20" s="66"/>
      <c r="B20" s="62">
        <v>35</v>
      </c>
      <c r="C20" s="60">
        <v>1</v>
      </c>
      <c r="D20" s="60"/>
      <c r="E20" s="60">
        <f>'BEP-DH_ASHP'!U9</f>
        <v>11</v>
      </c>
      <c r="F20" s="60">
        <v>36</v>
      </c>
      <c r="G20" s="60">
        <f>'BEP-DH_AN'!U$9</f>
        <v>25</v>
      </c>
      <c r="I20" s="66"/>
      <c r="J20" s="62">
        <v>35</v>
      </c>
      <c r="K20" s="60">
        <f>IF(AND(C20=0,E20=0),10,IF(C20=0,E20,IF(C20&gt;1,C20,0)))</f>
        <v>0</v>
      </c>
      <c r="L20" s="60">
        <f>IF(C20=1,G20,IF(C20&gt;1,G20-C20,0))</f>
        <v>25</v>
      </c>
      <c r="M20" s="60">
        <f>IF(AND(C20=0,E20=0),0,10)</f>
        <v>10</v>
      </c>
      <c r="O20" s="66"/>
      <c r="P20" s="62">
        <v>35</v>
      </c>
      <c r="Q20" s="60">
        <f>IF(AND(D20=0,F20=0),10,IF(D20=0,F20,IF(D20&gt;1,D20,0)))</f>
        <v>36</v>
      </c>
      <c r="R20" s="60">
        <f>IF(D20=1,G20,IF(D20&gt;1,G20-D20,0))</f>
        <v>0</v>
      </c>
      <c r="S20" s="60">
        <f>IF(AND(D20=0,F20=0),0,10)</f>
        <v>10</v>
      </c>
    </row>
    <row r="21" spans="1:19" x14ac:dyDescent="0.25">
      <c r="A21" s="66"/>
      <c r="B21" s="62">
        <v>25</v>
      </c>
      <c r="C21" s="60">
        <v>1</v>
      </c>
      <c r="D21" s="60"/>
      <c r="E21" s="60">
        <f>'BEP-DH_ASHP'!U10</f>
        <v>12</v>
      </c>
      <c r="F21" s="60">
        <v>48</v>
      </c>
      <c r="G21" s="60">
        <f>'BEP-DH_AN'!U$10</f>
        <v>26</v>
      </c>
      <c r="I21" s="66"/>
      <c r="J21" s="62">
        <v>25</v>
      </c>
      <c r="K21" s="60">
        <f>IF(AND(C21=0,E21=0),10,IF(C21=0,E21,IF(C21&gt;1,C21,0)))</f>
        <v>0</v>
      </c>
      <c r="L21" s="60">
        <f>IF(C21=1,G21,IF(C21&gt;1,G21-C21,0))</f>
        <v>26</v>
      </c>
      <c r="M21" s="60">
        <f>IF(AND(C21=0,E21=0),0,10)</f>
        <v>10</v>
      </c>
      <c r="O21" s="66"/>
      <c r="P21" s="62">
        <v>25</v>
      </c>
      <c r="Q21" s="60">
        <f>IF(AND(D21=0,F21=0),10,IF(D21=0,F21,IF(D21&gt;1,D21,0)))</f>
        <v>48</v>
      </c>
      <c r="R21" s="60">
        <f>IF(D21=1,G21,IF(D21&gt;1,G21-D21,0))</f>
        <v>0</v>
      </c>
      <c r="S21" s="60">
        <f>IF(AND(D21=0,F21=0),0,10)</f>
        <v>10</v>
      </c>
    </row>
    <row r="22" spans="1:19" x14ac:dyDescent="0.25">
      <c r="A22" s="67"/>
      <c r="B22" s="62">
        <v>10</v>
      </c>
      <c r="C22" s="60">
        <v>1</v>
      </c>
      <c r="D22" s="60"/>
      <c r="E22" s="60">
        <f>'BEP-DH_ASHP'!U11</f>
        <v>18</v>
      </c>
      <c r="F22" s="60"/>
      <c r="G22" s="60">
        <f>'BEP-DH_AN'!U$11</f>
        <v>33</v>
      </c>
      <c r="I22" s="67"/>
      <c r="J22" s="62">
        <v>10</v>
      </c>
      <c r="K22" s="60">
        <f>IF(AND(C22=0,E22=0),10,IF(C22=0,E22,IF(C22&gt;1,C22,0)))</f>
        <v>0</v>
      </c>
      <c r="L22" s="60">
        <f>IF(C22=1,G22,IF(C22&gt;1,G22-C22,0))</f>
        <v>33</v>
      </c>
      <c r="M22" s="60">
        <f>IF(AND(C22=0,E22=0),0,10)</f>
        <v>10</v>
      </c>
      <c r="O22" s="67"/>
      <c r="P22" s="62">
        <v>10</v>
      </c>
      <c r="Q22" s="60">
        <f>IF(AND(D22=0,F22=0),10,IF(D22=0,F22,IF(D22&gt;1,D22,0)))</f>
        <v>10</v>
      </c>
      <c r="R22" s="60">
        <f>IF(D22=1,G22,IF(D22&gt;1,G22-D22,0))</f>
        <v>0</v>
      </c>
      <c r="S22" s="60">
        <f>IF(AND(D22=0,F22=0),0,10)</f>
        <v>0</v>
      </c>
    </row>
    <row r="23" spans="1:19" x14ac:dyDescent="0.25">
      <c r="A23" s="65">
        <v>10</v>
      </c>
      <c r="B23" s="62">
        <v>75</v>
      </c>
      <c r="C23" s="60">
        <v>1</v>
      </c>
      <c r="D23" s="60">
        <f>'BEP-AN_GB'!V7</f>
        <v>4</v>
      </c>
      <c r="E23" s="60">
        <f>'BEP-DH_ASHP'!V7</f>
        <v>8</v>
      </c>
      <c r="F23" s="60">
        <v>18</v>
      </c>
      <c r="G23" s="60">
        <f>'BEP-DH_AN'!V$7</f>
        <v>20</v>
      </c>
      <c r="I23" s="65">
        <v>10</v>
      </c>
      <c r="J23" s="62">
        <v>75</v>
      </c>
      <c r="K23" s="60">
        <f>IF(AND(C23=0,E23=0),10,IF(C23=0,E23,IF(C23&gt;1,C23,0)))</f>
        <v>0</v>
      </c>
      <c r="L23" s="60">
        <f>IF(C23=1,G23,IF(C23&gt;1,G23-C23,0))</f>
        <v>20</v>
      </c>
      <c r="M23" s="60">
        <f>IF(AND(C23=0,E23=0),0,10)</f>
        <v>10</v>
      </c>
      <c r="O23" s="65">
        <v>10</v>
      </c>
      <c r="P23" s="62">
        <v>75</v>
      </c>
      <c r="Q23" s="60">
        <f>IF(AND(D23=0,F23=0),10,IF(D23=0,F23,IF(D23&gt;1,D23,0)))</f>
        <v>4</v>
      </c>
      <c r="R23" s="60">
        <f>IF(D23=1,G23,IF(D23&gt;1,G23-D23,0))</f>
        <v>16</v>
      </c>
      <c r="S23" s="60">
        <f>IF(AND(D23=0,F23=0),0,10)</f>
        <v>10</v>
      </c>
    </row>
    <row r="24" spans="1:19" x14ac:dyDescent="0.25">
      <c r="A24" s="66"/>
      <c r="B24" s="62">
        <v>50</v>
      </c>
      <c r="C24" s="60">
        <v>1</v>
      </c>
      <c r="D24" s="60">
        <f>'BEP-AN_GB'!V8</f>
        <v>6</v>
      </c>
      <c r="E24" s="60">
        <f>'BEP-DH_ASHP'!V8</f>
        <v>8</v>
      </c>
      <c r="F24" s="60">
        <v>20</v>
      </c>
      <c r="G24" s="60">
        <f>'BEP-DH_AN'!V$8</f>
        <v>20</v>
      </c>
      <c r="I24" s="66"/>
      <c r="J24" s="62">
        <v>50</v>
      </c>
      <c r="K24" s="60">
        <f>IF(AND(C24=0,E24=0),10,IF(C24=0,E24,IF(C24&gt;1,C24,0)))</f>
        <v>0</v>
      </c>
      <c r="L24" s="60">
        <f>IF(C24=1,G24,IF(C24&gt;1,G24-C24,0))</f>
        <v>20</v>
      </c>
      <c r="M24" s="60">
        <f>IF(AND(C24=0,E24=0),0,10)</f>
        <v>10</v>
      </c>
      <c r="O24" s="66"/>
      <c r="P24" s="62">
        <v>50</v>
      </c>
      <c r="Q24" s="60">
        <f>IF(AND(D24=0,F24=0),10,IF(D24=0,F24,IF(D24&gt;1,D24,0)))</f>
        <v>6</v>
      </c>
      <c r="R24" s="60">
        <f>IF(D24=1,G24,IF(D24&gt;1,G24-D24,0))</f>
        <v>14</v>
      </c>
      <c r="S24" s="60">
        <f>IF(AND(D24=0,F24=0),0,10)</f>
        <v>10</v>
      </c>
    </row>
    <row r="25" spans="1:19" x14ac:dyDescent="0.25">
      <c r="A25" s="66"/>
      <c r="B25" s="62">
        <v>35</v>
      </c>
      <c r="C25" s="60">
        <v>1</v>
      </c>
      <c r="D25" s="60"/>
      <c r="E25" s="60">
        <f>'BEP-DH_ASHP'!V9</f>
        <v>8</v>
      </c>
      <c r="F25" s="60">
        <v>22</v>
      </c>
      <c r="G25" s="60">
        <f>'BEP-DH_AN'!V$9</f>
        <v>21</v>
      </c>
      <c r="I25" s="66"/>
      <c r="J25" s="62">
        <v>35</v>
      </c>
      <c r="K25" s="60">
        <f>IF(AND(C25=0,E25=0),10,IF(C25=0,E25,IF(C25&gt;1,C25,0)))</f>
        <v>0</v>
      </c>
      <c r="L25" s="60">
        <f>IF(C25=1,G25,IF(C25&gt;1,G25-C25,0))</f>
        <v>21</v>
      </c>
      <c r="M25" s="60">
        <f>IF(AND(C25=0,E25=0),0,10)</f>
        <v>10</v>
      </c>
      <c r="O25" s="66"/>
      <c r="P25" s="62">
        <v>35</v>
      </c>
      <c r="Q25" s="60">
        <f>IF(AND(D25=0,F25=0),10,IF(D25=0,F25,IF(D25&gt;1,D25,0)))</f>
        <v>22</v>
      </c>
      <c r="R25" s="60">
        <f>IF(D25=1,G25,IF(D25&gt;1,G25-D25,0))</f>
        <v>0</v>
      </c>
      <c r="S25" s="60">
        <f>IF(AND(D25=0,F25=0),0,10)</f>
        <v>10</v>
      </c>
    </row>
    <row r="26" spans="1:19" x14ac:dyDescent="0.25">
      <c r="A26" s="66"/>
      <c r="B26" s="62">
        <v>25</v>
      </c>
      <c r="C26" s="60">
        <v>1</v>
      </c>
      <c r="D26" s="60"/>
      <c r="E26" s="60">
        <f>'BEP-DH_ASHP'!V10</f>
        <v>9</v>
      </c>
      <c r="F26" s="60">
        <v>27</v>
      </c>
      <c r="G26" s="60">
        <f>'BEP-DH_AN'!V$10</f>
        <v>22</v>
      </c>
      <c r="I26" s="66"/>
      <c r="J26" s="62">
        <v>25</v>
      </c>
      <c r="K26" s="60">
        <f>IF(AND(C26=0,E26=0),10,IF(C26=0,E26,IF(C26&gt;1,C26,0)))</f>
        <v>0</v>
      </c>
      <c r="L26" s="60">
        <f>IF(C26=1,G26,IF(C26&gt;1,G26-C26,0))</f>
        <v>22</v>
      </c>
      <c r="M26" s="60">
        <f>IF(AND(C26=0,E26=0),0,10)</f>
        <v>10</v>
      </c>
      <c r="O26" s="66"/>
      <c r="P26" s="62">
        <v>25</v>
      </c>
      <c r="Q26" s="60">
        <f>IF(AND(D26=0,F26=0),10,IF(D26=0,F26,IF(D26&gt;1,D26,0)))</f>
        <v>27</v>
      </c>
      <c r="R26" s="60">
        <f>IF(D26=1,G26,IF(D26&gt;1,G26-D26,0))</f>
        <v>0</v>
      </c>
      <c r="S26" s="60">
        <f>IF(AND(D26=0,F26=0),0,10)</f>
        <v>10</v>
      </c>
    </row>
    <row r="27" spans="1:19" x14ac:dyDescent="0.25">
      <c r="A27" s="67"/>
      <c r="B27" s="62">
        <v>10</v>
      </c>
      <c r="C27" s="60">
        <v>1</v>
      </c>
      <c r="D27" s="60"/>
      <c r="E27" s="60">
        <f>'BEP-DH_ASHP'!V11</f>
        <v>12</v>
      </c>
      <c r="F27" s="60">
        <v>100</v>
      </c>
      <c r="G27" s="60">
        <f>'BEP-DH_AN'!V$11</f>
        <v>27</v>
      </c>
      <c r="I27" s="67"/>
      <c r="J27" s="62">
        <v>10</v>
      </c>
      <c r="K27" s="60">
        <f>IF(AND(C27=0,E27=0),10,IF(C27=0,E27,IF(C27&gt;1,C27,0)))</f>
        <v>0</v>
      </c>
      <c r="L27" s="60">
        <f>IF(C27=1,G27,IF(C27&gt;1,G27-C27,0))</f>
        <v>27</v>
      </c>
      <c r="M27" s="60">
        <f>IF(AND(C27=0,E27=0),0,10)</f>
        <v>10</v>
      </c>
      <c r="O27" s="67"/>
      <c r="P27" s="62">
        <v>10</v>
      </c>
      <c r="Q27" s="60">
        <f>IF(AND(D27=0,F27=0),10,IF(D27=0,F27,IF(D27&gt;1,D27,0)))</f>
        <v>100</v>
      </c>
      <c r="R27" s="60">
        <f>IF(D27=1,G27,IF(D27&gt;1,G27-D27,0))</f>
        <v>0</v>
      </c>
      <c r="S27" s="60">
        <f>IF(AND(D27=0,F27=0),0,10)</f>
        <v>10</v>
      </c>
    </row>
    <row r="28" spans="1:19" x14ac:dyDescent="0.25">
      <c r="A28" s="65">
        <v>13</v>
      </c>
      <c r="B28" s="62">
        <v>75</v>
      </c>
      <c r="C28" s="60">
        <v>1</v>
      </c>
      <c r="D28" s="60">
        <v>1</v>
      </c>
      <c r="E28" s="60">
        <f>'BEP-DH_ASHP'!W7</f>
        <v>6</v>
      </c>
      <c r="F28" s="60" cm="1">
        <f t="array" ref="F28:F32">'BEP-DH_GB'!W7:W11</f>
        <v>12</v>
      </c>
      <c r="G28" s="60">
        <f>'BEP-DH_AN'!W$7</f>
        <v>16</v>
      </c>
      <c r="I28" s="65">
        <v>13</v>
      </c>
      <c r="J28" s="62">
        <v>75</v>
      </c>
      <c r="K28" s="60">
        <f>IF(AND(C28=0,E28=0),10,IF(C28=0,E28,IF(C28&gt;1,C28,0)))</f>
        <v>0</v>
      </c>
      <c r="L28" s="60">
        <f>IF(C28=1,G28,IF(C28&gt;1,G28-C28,0))</f>
        <v>16</v>
      </c>
      <c r="M28" s="60">
        <f>IF(AND(C28=0,E28=0),0,10)</f>
        <v>10</v>
      </c>
      <c r="O28" s="65">
        <v>13</v>
      </c>
      <c r="P28" s="62">
        <v>75</v>
      </c>
      <c r="Q28" s="60">
        <f>IF(AND(D28=0,F28=0),10,IF(D28=0,F28,IF(D28&gt;1,D28,0)))</f>
        <v>0</v>
      </c>
      <c r="R28" s="60">
        <f>IF(D28=1,G28,IF(D28&gt;1,G28-D28,0))</f>
        <v>16</v>
      </c>
      <c r="S28" s="60">
        <f>IF(AND(D28=0,F28=0),0,10)</f>
        <v>10</v>
      </c>
    </row>
    <row r="29" spans="1:19" x14ac:dyDescent="0.25">
      <c r="A29" s="66"/>
      <c r="B29" s="62">
        <v>50</v>
      </c>
      <c r="C29" s="60">
        <v>1</v>
      </c>
      <c r="D29" s="60">
        <v>1</v>
      </c>
      <c r="E29" s="60">
        <f>'BEP-DH_ASHP'!W8</f>
        <v>6</v>
      </c>
      <c r="F29" s="60">
        <v>13</v>
      </c>
      <c r="G29" s="60">
        <f>'BEP-DH_AN'!W$8</f>
        <v>16</v>
      </c>
      <c r="I29" s="66"/>
      <c r="J29" s="62">
        <v>50</v>
      </c>
      <c r="K29" s="60">
        <f>IF(AND(C29=0,E29=0),10,IF(C29=0,E29,IF(C29&gt;1,C29,0)))</f>
        <v>0</v>
      </c>
      <c r="L29" s="60">
        <f>IF(C29=1,G29,IF(C29&gt;1,G29-C29,0))</f>
        <v>16</v>
      </c>
      <c r="M29" s="60">
        <f>IF(AND(C29=0,E29=0),0,10)</f>
        <v>10</v>
      </c>
      <c r="O29" s="66"/>
      <c r="P29" s="62">
        <v>50</v>
      </c>
      <c r="Q29" s="60">
        <f>IF(AND(D29=0,F29=0),10,IF(D29=0,F29,IF(D29&gt;1,D29,0)))</f>
        <v>0</v>
      </c>
      <c r="R29" s="60">
        <f>IF(D29=1,G29,IF(D29&gt;1,G29-D29,0))</f>
        <v>16</v>
      </c>
      <c r="S29" s="60">
        <f>IF(AND(D29=0,F29=0),0,10)</f>
        <v>10</v>
      </c>
    </row>
    <row r="30" spans="1:19" x14ac:dyDescent="0.25">
      <c r="A30" s="66"/>
      <c r="B30" s="62">
        <v>35</v>
      </c>
      <c r="C30" s="60">
        <v>1</v>
      </c>
      <c r="D30" s="60">
        <v>1</v>
      </c>
      <c r="E30" s="60">
        <f>'BEP-DH_ASHP'!W9</f>
        <v>6</v>
      </c>
      <c r="F30" s="60">
        <v>15</v>
      </c>
      <c r="G30" s="60">
        <f>'BEP-DH_AN'!W$9</f>
        <v>17</v>
      </c>
      <c r="I30" s="66"/>
      <c r="J30" s="62">
        <v>35</v>
      </c>
      <c r="K30" s="60">
        <f>IF(AND(C30=0,E30=0),10,IF(C30=0,E30,IF(C30&gt;1,C30,0)))</f>
        <v>0</v>
      </c>
      <c r="L30" s="60">
        <f>IF(C30=1,G30,IF(C30&gt;1,G30-C30,0))</f>
        <v>17</v>
      </c>
      <c r="M30" s="60">
        <f>IF(AND(C30=0,E30=0),0,10)</f>
        <v>10</v>
      </c>
      <c r="O30" s="66"/>
      <c r="P30" s="62">
        <v>35</v>
      </c>
      <c r="Q30" s="60">
        <f>IF(AND(D30=0,F30=0),10,IF(D30=0,F30,IF(D30&gt;1,D30,0)))</f>
        <v>0</v>
      </c>
      <c r="R30" s="60">
        <f>IF(D30=1,G30,IF(D30&gt;1,G30-D30,0))</f>
        <v>17</v>
      </c>
      <c r="S30" s="60">
        <f>IF(AND(D30=0,F30=0),0,10)</f>
        <v>10</v>
      </c>
    </row>
    <row r="31" spans="1:19" x14ac:dyDescent="0.25">
      <c r="A31" s="66"/>
      <c r="B31" s="62">
        <v>25</v>
      </c>
      <c r="C31" s="60">
        <v>1</v>
      </c>
      <c r="D31" s="60">
        <v>1</v>
      </c>
      <c r="E31" s="60">
        <f>'BEP-DH_ASHP'!W10</f>
        <v>6</v>
      </c>
      <c r="F31" s="60">
        <v>16</v>
      </c>
      <c r="G31" s="60">
        <f>'BEP-DH_AN'!W$10</f>
        <v>18</v>
      </c>
      <c r="I31" s="66"/>
      <c r="J31" s="62">
        <v>25</v>
      </c>
      <c r="K31" s="60">
        <f>IF(AND(C31=0,E31=0),10,IF(C31=0,E31,IF(C31&gt;1,C31,0)))</f>
        <v>0</v>
      </c>
      <c r="L31" s="60">
        <f>IF(C31=1,G31,IF(C31&gt;1,G31-C31,0))</f>
        <v>18</v>
      </c>
      <c r="M31" s="60">
        <f>IF(AND(C31=0,E31=0),0,10)</f>
        <v>10</v>
      </c>
      <c r="O31" s="66"/>
      <c r="P31" s="62">
        <v>25</v>
      </c>
      <c r="Q31" s="60">
        <f>IF(AND(D31=0,F31=0),10,IF(D31=0,F31,IF(D31&gt;1,D31,0)))</f>
        <v>0</v>
      </c>
      <c r="R31" s="60">
        <f>IF(D31=1,G31,IF(D31&gt;1,G31-D31,0))</f>
        <v>18</v>
      </c>
      <c r="S31" s="60">
        <f>IF(AND(D31=0,F31=0),0,10)</f>
        <v>10</v>
      </c>
    </row>
    <row r="32" spans="1:19" x14ac:dyDescent="0.25">
      <c r="A32" s="67"/>
      <c r="B32" s="62">
        <v>10</v>
      </c>
      <c r="C32" s="60">
        <v>1</v>
      </c>
      <c r="D32" s="60">
        <v>1</v>
      </c>
      <c r="E32" s="60">
        <f>'BEP-DH_ASHP'!W11</f>
        <v>8</v>
      </c>
      <c r="F32" s="60">
        <v>28</v>
      </c>
      <c r="G32" s="60">
        <f>'BEP-DH_AN'!W$11</f>
        <v>21</v>
      </c>
      <c r="I32" s="67"/>
      <c r="J32" s="62">
        <v>10</v>
      </c>
      <c r="K32" s="60">
        <f>IF(AND(C32=0,E32=0),10,IF(C32=0,E32,IF(C32&gt;1,C32,0)))</f>
        <v>0</v>
      </c>
      <c r="L32" s="60">
        <f>IF(C32=1,G32,IF(C32&gt;1,G32-C32,0))</f>
        <v>21</v>
      </c>
      <c r="M32" s="60">
        <f>IF(AND(C32=0,E32=0),0,10)</f>
        <v>10</v>
      </c>
      <c r="O32" s="67"/>
      <c r="P32" s="62">
        <v>10</v>
      </c>
      <c r="Q32" s="60">
        <f>IF(AND(D32=0,F32=0),10,IF(D32=0,F32,IF(D32&gt;1,D32,0)))</f>
        <v>0</v>
      </c>
      <c r="R32" s="60">
        <f>IF(D32=1,G32,IF(D32&gt;1,G32-D32,0))</f>
        <v>21</v>
      </c>
      <c r="S32" s="60">
        <f>IF(AND(D32=0,F32=0),0,10)</f>
        <v>10</v>
      </c>
    </row>
    <row r="33" spans="1:19" x14ac:dyDescent="0.25">
      <c r="A33" s="65">
        <v>16</v>
      </c>
      <c r="B33" s="62">
        <v>75</v>
      </c>
      <c r="C33" s="60">
        <v>1</v>
      </c>
      <c r="D33" s="60">
        <v>1</v>
      </c>
      <c r="E33" s="60">
        <f>'BEP-DH_ASHP'!X7</f>
        <v>5</v>
      </c>
      <c r="F33" s="60" cm="1">
        <f t="array" ref="F33:F37">'BEP-DH_GB'!X7:X11</f>
        <v>10</v>
      </c>
      <c r="G33" s="60">
        <f>'BEP-DH_AN'!X$7</f>
        <v>14</v>
      </c>
      <c r="I33" s="65">
        <v>16</v>
      </c>
      <c r="J33" s="62">
        <v>75</v>
      </c>
      <c r="K33" s="60">
        <f>IF(AND(C33=0,E33=0),10,IF(C33=0,E33,IF(C33&gt;1,C33,0)))</f>
        <v>0</v>
      </c>
      <c r="L33" s="60">
        <f>IF(C33=1,G33,IF(C33&gt;1,G33-C33,0))</f>
        <v>14</v>
      </c>
      <c r="M33" s="60">
        <f>IF(AND(C33=0,E33=0),0,10)</f>
        <v>10</v>
      </c>
      <c r="O33" s="65">
        <v>16</v>
      </c>
      <c r="P33" s="62">
        <v>75</v>
      </c>
      <c r="Q33" s="60">
        <f>IF(AND(D33=0,F33=0),10,IF(D33=0,F33,IF(D33&gt;1,D33,0)))</f>
        <v>0</v>
      </c>
      <c r="R33" s="60">
        <f>IF(D33=1,G33,IF(D33&gt;1,G33-D33,0))</f>
        <v>14</v>
      </c>
      <c r="S33" s="60">
        <f>IF(AND(D33=0,F33=0),0,10)</f>
        <v>10</v>
      </c>
    </row>
    <row r="34" spans="1:19" x14ac:dyDescent="0.25">
      <c r="A34" s="66"/>
      <c r="B34" s="62">
        <v>50</v>
      </c>
      <c r="C34" s="60">
        <v>1</v>
      </c>
      <c r="D34" s="60">
        <v>1</v>
      </c>
      <c r="E34" s="60">
        <f>'BEP-DH_ASHP'!X8</f>
        <v>5</v>
      </c>
      <c r="F34" s="60">
        <v>10</v>
      </c>
      <c r="G34" s="60">
        <f>'BEP-DH_AN'!X$8</f>
        <v>14</v>
      </c>
      <c r="I34" s="66"/>
      <c r="J34" s="62">
        <v>50</v>
      </c>
      <c r="K34" s="60">
        <f>IF(AND(C34=0,E34=0),10,IF(C34=0,E34,IF(C34&gt;1,C34,0)))</f>
        <v>0</v>
      </c>
      <c r="L34" s="60">
        <f>IF(C34=1,G34,IF(C34&gt;1,G34-C34,0))</f>
        <v>14</v>
      </c>
      <c r="M34" s="60">
        <f>IF(AND(C34=0,E34=0),0,10)</f>
        <v>10</v>
      </c>
      <c r="O34" s="66"/>
      <c r="P34" s="62">
        <v>50</v>
      </c>
      <c r="Q34" s="60">
        <f>IF(AND(D34=0,F34=0),10,IF(D34=0,F34,IF(D34&gt;1,D34,0)))</f>
        <v>0</v>
      </c>
      <c r="R34" s="60">
        <f>IF(D34=1,G34,IF(D34&gt;1,G34-D34,0))</f>
        <v>14</v>
      </c>
      <c r="S34" s="60">
        <f>IF(AND(D34=0,F34=0),0,10)</f>
        <v>10</v>
      </c>
    </row>
    <row r="35" spans="1:19" x14ac:dyDescent="0.25">
      <c r="A35" s="66"/>
      <c r="B35" s="62">
        <v>35</v>
      </c>
      <c r="C35" s="60">
        <v>1</v>
      </c>
      <c r="D35" s="60">
        <v>1</v>
      </c>
      <c r="E35" s="60">
        <f>'BEP-DH_ASHP'!X9</f>
        <v>5</v>
      </c>
      <c r="F35" s="60">
        <v>11</v>
      </c>
      <c r="G35" s="60">
        <f>'BEP-DH_AN'!X$9</f>
        <v>15</v>
      </c>
      <c r="I35" s="66"/>
      <c r="J35" s="62">
        <v>35</v>
      </c>
      <c r="K35" s="60">
        <f>IF(AND(C35=0,E35=0),10,IF(C35=0,E35,IF(C35&gt;1,C35,0)))</f>
        <v>0</v>
      </c>
      <c r="L35" s="60">
        <f>IF(C35=1,G35,IF(C35&gt;1,G35-C35,0))</f>
        <v>15</v>
      </c>
      <c r="M35" s="60">
        <f>IF(AND(C35=0,E35=0),0,10)</f>
        <v>10</v>
      </c>
      <c r="O35" s="66"/>
      <c r="P35" s="62">
        <v>35</v>
      </c>
      <c r="Q35" s="60">
        <f>IF(AND(D35=0,F35=0),10,IF(D35=0,F35,IF(D35&gt;1,D35,0)))</f>
        <v>0</v>
      </c>
      <c r="R35" s="60">
        <f>IF(D35=1,G35,IF(D35&gt;1,G35-D35,0))</f>
        <v>15</v>
      </c>
      <c r="S35" s="60">
        <f>IF(AND(D35=0,F35=0),0,10)</f>
        <v>10</v>
      </c>
    </row>
    <row r="36" spans="1:19" x14ac:dyDescent="0.25">
      <c r="A36" s="66"/>
      <c r="B36" s="62">
        <v>25</v>
      </c>
      <c r="C36" s="60">
        <v>1</v>
      </c>
      <c r="D36" s="60">
        <v>1</v>
      </c>
      <c r="E36" s="60">
        <f>'BEP-DH_ASHP'!X10</f>
        <v>5</v>
      </c>
      <c r="F36" s="60">
        <v>12</v>
      </c>
      <c r="G36" s="60">
        <f>'BEP-DH_AN'!X$10</f>
        <v>15</v>
      </c>
      <c r="I36" s="66"/>
      <c r="J36" s="62">
        <v>25</v>
      </c>
      <c r="K36" s="60">
        <f>IF(AND(C36=0,E36=0),10,IF(C36=0,E36,IF(C36&gt;1,C36,0)))</f>
        <v>0</v>
      </c>
      <c r="L36" s="60">
        <f>IF(C36=1,G36,IF(C36&gt;1,G36-C36,0))</f>
        <v>15</v>
      </c>
      <c r="M36" s="60">
        <f>IF(AND(C36=0,E36=0),0,10)</f>
        <v>10</v>
      </c>
      <c r="O36" s="66"/>
      <c r="P36" s="62">
        <v>25</v>
      </c>
      <c r="Q36" s="60">
        <f>IF(AND(D36=0,F36=0),10,IF(D36=0,F36,IF(D36&gt;1,D36,0)))</f>
        <v>0</v>
      </c>
      <c r="R36" s="60">
        <f>IF(D36=1,G36,IF(D36&gt;1,G36-D36,0))</f>
        <v>15</v>
      </c>
      <c r="S36" s="60">
        <f>IF(AND(D36=0,F36=0),0,10)</f>
        <v>10</v>
      </c>
    </row>
    <row r="37" spans="1:19" x14ac:dyDescent="0.25">
      <c r="A37" s="67"/>
      <c r="B37" s="62">
        <v>10</v>
      </c>
      <c r="C37" s="60">
        <v>1</v>
      </c>
      <c r="D37" s="60">
        <v>1</v>
      </c>
      <c r="E37" s="60">
        <f>'BEP-DH_ASHP'!X11</f>
        <v>6</v>
      </c>
      <c r="F37" s="60">
        <v>17</v>
      </c>
      <c r="G37" s="60">
        <f>'BEP-DH_AN'!X$11</f>
        <v>17</v>
      </c>
      <c r="I37" s="67"/>
      <c r="J37" s="62">
        <v>10</v>
      </c>
      <c r="K37" s="60">
        <f>IF(AND(C37=0,E37=0),10,IF(C37=0,E37,IF(C37&gt;1,C37,0)))</f>
        <v>0</v>
      </c>
      <c r="L37" s="60">
        <f>IF(C37=1,G37,IF(C37&gt;1,G37-C37,0))</f>
        <v>17</v>
      </c>
      <c r="M37" s="60">
        <f>IF(AND(C37=0,E37=0),0,10)</f>
        <v>10</v>
      </c>
      <c r="O37" s="67"/>
      <c r="P37" s="62">
        <v>10</v>
      </c>
      <c r="Q37" s="60">
        <f>IF(AND(D37=0,F37=0),10,IF(D37=0,F37,IF(D37&gt;1,D37,0)))</f>
        <v>0</v>
      </c>
      <c r="R37" s="60">
        <f>IF(D37=1,G37,IF(D37&gt;1,G37-D37,0))</f>
        <v>17</v>
      </c>
      <c r="S37" s="60">
        <f>IF(AND(D37=0,F37=0),0,10)</f>
        <v>10</v>
      </c>
    </row>
    <row r="38" spans="1:19" x14ac:dyDescent="0.25">
      <c r="A38" s="65">
        <v>20</v>
      </c>
      <c r="B38" s="62">
        <v>75</v>
      </c>
      <c r="C38" s="60">
        <v>1</v>
      </c>
      <c r="D38" s="60">
        <v>1</v>
      </c>
      <c r="E38" s="60">
        <f>'BEP-DH_ASHP'!Y7</f>
        <v>4</v>
      </c>
      <c r="F38" s="60" cm="1">
        <f t="array" ref="F38:F42">'BEP-DH_GB'!Y7:Y11</f>
        <v>7</v>
      </c>
      <c r="G38" s="60">
        <f>'BEP-DH_AN'!Y$7</f>
        <v>12</v>
      </c>
      <c r="I38" s="65">
        <v>20</v>
      </c>
      <c r="J38" s="62">
        <v>75</v>
      </c>
      <c r="K38" s="60">
        <f>IF(AND(C38=0,E38=0),10,IF(C38=0,E38,IF(C38&gt;1,C38,0)))</f>
        <v>0</v>
      </c>
      <c r="L38" s="60">
        <f>IF(C38=1,G38,IF(C38&gt;1,G38-C38,0))</f>
        <v>12</v>
      </c>
      <c r="M38" s="60">
        <f>IF(AND(C38=0,E38=0),0,10)</f>
        <v>10</v>
      </c>
      <c r="O38" s="65">
        <v>20</v>
      </c>
      <c r="P38" s="62">
        <v>75</v>
      </c>
      <c r="Q38" s="60">
        <f>IF(AND(D38=0,F38=0),10,IF(D38=0,F38,IF(D38&gt;1,D38,0)))</f>
        <v>0</v>
      </c>
      <c r="R38" s="60">
        <f>IF(D38=1,G38,IF(D38&gt;1,G38-D38,0))</f>
        <v>12</v>
      </c>
      <c r="S38" s="60">
        <f>IF(AND(D38=0,F38=0),0,10)</f>
        <v>10</v>
      </c>
    </row>
    <row r="39" spans="1:19" x14ac:dyDescent="0.25">
      <c r="A39" s="66"/>
      <c r="B39" s="62">
        <v>50</v>
      </c>
      <c r="C39" s="60">
        <v>1</v>
      </c>
      <c r="D39" s="60">
        <v>1</v>
      </c>
      <c r="E39" s="60">
        <f>'BEP-DH_ASHP'!Y8</f>
        <v>4</v>
      </c>
      <c r="F39" s="60">
        <v>8</v>
      </c>
      <c r="G39" s="60">
        <f>'BEP-DH_AN'!Y$8</f>
        <v>12</v>
      </c>
      <c r="I39" s="66"/>
      <c r="J39" s="62">
        <v>50</v>
      </c>
      <c r="K39" s="60">
        <f>IF(AND(C39=0,E39=0),10,IF(C39=0,E39,IF(C39&gt;1,C39,0)))</f>
        <v>0</v>
      </c>
      <c r="L39" s="60">
        <f>IF(C39=1,G39,IF(C39&gt;1,G39-C39,0))</f>
        <v>12</v>
      </c>
      <c r="M39" s="60">
        <f>IF(AND(C39=0,E39=0),0,10)</f>
        <v>10</v>
      </c>
      <c r="O39" s="66"/>
      <c r="P39" s="62">
        <v>50</v>
      </c>
      <c r="Q39" s="60">
        <f>IF(AND(D39=0,F39=0),10,IF(D39=0,F39,IF(D39&gt;1,D39,0)))</f>
        <v>0</v>
      </c>
      <c r="R39" s="60">
        <f>IF(D39=1,G39,IF(D39&gt;1,G39-D39,0))</f>
        <v>12</v>
      </c>
      <c r="S39" s="60">
        <f>IF(AND(D39=0,F39=0),0,10)</f>
        <v>10</v>
      </c>
    </row>
    <row r="40" spans="1:19" x14ac:dyDescent="0.25">
      <c r="A40" s="66"/>
      <c r="B40" s="62">
        <v>35</v>
      </c>
      <c r="C40" s="60">
        <v>1</v>
      </c>
      <c r="D40" s="60">
        <v>1</v>
      </c>
      <c r="E40" s="60">
        <f>'BEP-DH_ASHP'!Y9</f>
        <v>4</v>
      </c>
      <c r="F40" s="60">
        <v>8</v>
      </c>
      <c r="G40" s="60">
        <f>'BEP-DH_AN'!Y$9</f>
        <v>12</v>
      </c>
      <c r="I40" s="66"/>
      <c r="J40" s="62">
        <v>35</v>
      </c>
      <c r="K40" s="60">
        <f>IF(AND(C40=0,E40=0),10,IF(C40=0,E40,IF(C40&gt;1,C40,0)))</f>
        <v>0</v>
      </c>
      <c r="L40" s="60">
        <f>IF(C40=1,G40,IF(C40&gt;1,G40-C40,0))</f>
        <v>12</v>
      </c>
      <c r="M40" s="60">
        <f>IF(AND(C40=0,E40=0),0,10)</f>
        <v>10</v>
      </c>
      <c r="O40" s="66"/>
      <c r="P40" s="62">
        <v>35</v>
      </c>
      <c r="Q40" s="60">
        <f>IF(AND(D40=0,F40=0),10,IF(D40=0,F40,IF(D40&gt;1,D40,0)))</f>
        <v>0</v>
      </c>
      <c r="R40" s="60">
        <f>IF(D40=1,G40,IF(D40&gt;1,G40-D40,0))</f>
        <v>12</v>
      </c>
      <c r="S40" s="60">
        <f>IF(AND(D40=0,F40=0),0,10)</f>
        <v>10</v>
      </c>
    </row>
    <row r="41" spans="1:19" x14ac:dyDescent="0.25">
      <c r="A41" s="66"/>
      <c r="B41" s="62">
        <v>25</v>
      </c>
      <c r="C41" s="60">
        <v>1</v>
      </c>
      <c r="D41" s="60">
        <v>1</v>
      </c>
      <c r="E41" s="60">
        <f>'BEP-DH_ASHP'!Y10</f>
        <v>4</v>
      </c>
      <c r="F41" s="60">
        <v>9</v>
      </c>
      <c r="G41" s="60">
        <f>'BEP-DH_AN'!Y$10</f>
        <v>13</v>
      </c>
      <c r="I41" s="66"/>
      <c r="J41" s="62">
        <v>25</v>
      </c>
      <c r="K41" s="60">
        <f>IF(AND(C41=0,E41=0),10,IF(C41=0,E41,IF(C41&gt;1,C41,0)))</f>
        <v>0</v>
      </c>
      <c r="L41" s="60">
        <f>IF(C41=1,G41,IF(C41&gt;1,G41-C41,0))</f>
        <v>13</v>
      </c>
      <c r="M41" s="60">
        <f>IF(AND(C41=0,E41=0),0,10)</f>
        <v>10</v>
      </c>
      <c r="O41" s="66"/>
      <c r="P41" s="62">
        <v>25</v>
      </c>
      <c r="Q41" s="60">
        <f>IF(AND(D41=0,F41=0),10,IF(D41=0,F41,IF(D41&gt;1,D41,0)))</f>
        <v>0</v>
      </c>
      <c r="R41" s="60">
        <f>IF(D41=1,G41,IF(D41&gt;1,G41-D41,0))</f>
        <v>13</v>
      </c>
      <c r="S41" s="60">
        <f>IF(AND(D41=0,F41=0),0,10)</f>
        <v>10</v>
      </c>
    </row>
    <row r="42" spans="1:19" x14ac:dyDescent="0.25">
      <c r="A42" s="67"/>
      <c r="B42" s="62">
        <v>10</v>
      </c>
      <c r="C42" s="60">
        <v>1</v>
      </c>
      <c r="D42" s="60">
        <v>1</v>
      </c>
      <c r="E42" s="60">
        <f>'BEP-DH_ASHP'!Y11</f>
        <v>4</v>
      </c>
      <c r="F42" s="60">
        <v>11</v>
      </c>
      <c r="G42" s="60">
        <f>'BEP-DH_AN'!Y$11</f>
        <v>14</v>
      </c>
      <c r="I42" s="67"/>
      <c r="J42" s="62">
        <v>10</v>
      </c>
      <c r="K42" s="60">
        <f>IF(AND(C42=0,E42=0),10,IF(C42=0,E42,IF(C42&gt;1,C42,0)))</f>
        <v>0</v>
      </c>
      <c r="L42" s="60">
        <f>IF(C42=1,G42,IF(C42&gt;1,G42-C42,0))</f>
        <v>14</v>
      </c>
      <c r="M42" s="60">
        <f>IF(AND(C42=0,E42=0),0,10)</f>
        <v>10</v>
      </c>
      <c r="O42" s="67"/>
      <c r="P42" s="62">
        <v>10</v>
      </c>
      <c r="Q42" s="60">
        <f>IF(AND(D42=0,F42=0),10,IF(D42=0,F42,IF(D42&gt;1,D42,0)))</f>
        <v>0</v>
      </c>
      <c r="R42" s="60">
        <f>IF(D42=1,G42,IF(D42&gt;1,G42-D42,0))</f>
        <v>14</v>
      </c>
      <c r="S42" s="60">
        <f>IF(AND(D42=0,F42=0),0,10)</f>
        <v>10</v>
      </c>
    </row>
    <row r="43" spans="1:19" x14ac:dyDescent="0.25">
      <c r="G43" s="55"/>
      <c r="L43" s="55"/>
      <c r="R43" s="55"/>
    </row>
    <row r="44" spans="1:19" x14ac:dyDescent="0.25">
      <c r="G44" s="55"/>
      <c r="L44" s="55"/>
      <c r="R44" s="55"/>
    </row>
    <row r="45" spans="1:19" x14ac:dyDescent="0.25">
      <c r="G45" s="55"/>
      <c r="L45" s="55"/>
      <c r="R45" s="55"/>
    </row>
    <row r="46" spans="1:19" x14ac:dyDescent="0.25">
      <c r="G46" s="55"/>
      <c r="L46" s="55"/>
      <c r="R46" s="55"/>
    </row>
    <row r="47" spans="1:19" x14ac:dyDescent="0.25">
      <c r="G47" s="55"/>
      <c r="L47" s="55"/>
      <c r="R47" s="55"/>
    </row>
    <row r="48" spans="1:19" x14ac:dyDescent="0.25">
      <c r="G48" s="55"/>
      <c r="L48" s="55"/>
      <c r="R48" s="55"/>
    </row>
    <row r="49" spans="7:18" x14ac:dyDescent="0.25">
      <c r="G49" s="55"/>
      <c r="L49" s="55"/>
      <c r="R49" s="55"/>
    </row>
    <row r="50" spans="7:18" x14ac:dyDescent="0.25">
      <c r="G50" s="55"/>
      <c r="L50" s="55"/>
      <c r="R50" s="55"/>
    </row>
    <row r="51" spans="7:18" x14ac:dyDescent="0.25">
      <c r="G51" s="55"/>
      <c r="L51" s="55"/>
      <c r="R51" s="55"/>
    </row>
    <row r="52" spans="7:18" x14ac:dyDescent="0.25">
      <c r="G52" s="55"/>
      <c r="L52" s="55"/>
      <c r="R52" s="55"/>
    </row>
    <row r="53" spans="7:18" x14ac:dyDescent="0.25">
      <c r="G53" s="55"/>
      <c r="L53" s="55"/>
      <c r="R53" s="55"/>
    </row>
    <row r="54" spans="7:18" x14ac:dyDescent="0.25">
      <c r="G54" s="55"/>
      <c r="L54" s="55"/>
      <c r="R54" s="55"/>
    </row>
    <row r="55" spans="7:18" x14ac:dyDescent="0.25">
      <c r="G55" s="55"/>
      <c r="L55" s="55"/>
      <c r="R55" s="55"/>
    </row>
    <row r="56" spans="7:18" x14ac:dyDescent="0.25">
      <c r="G56" s="55"/>
      <c r="L56" s="55"/>
      <c r="R56" s="55"/>
    </row>
    <row r="57" spans="7:18" x14ac:dyDescent="0.25">
      <c r="G57" s="55"/>
      <c r="L57" s="55"/>
      <c r="R57" s="55"/>
    </row>
    <row r="58" spans="7:18" x14ac:dyDescent="0.25">
      <c r="G58" s="55"/>
      <c r="L58" s="55"/>
      <c r="R58" s="55"/>
    </row>
    <row r="59" spans="7:18" x14ac:dyDescent="0.25">
      <c r="G59" s="55"/>
      <c r="L59" s="55"/>
      <c r="R59" s="55"/>
    </row>
    <row r="60" spans="7:18" x14ac:dyDescent="0.25">
      <c r="G60" s="55"/>
      <c r="L60" s="55"/>
      <c r="R60" s="55"/>
    </row>
    <row r="61" spans="7:18" x14ac:dyDescent="0.25">
      <c r="G61" s="55"/>
      <c r="L61" s="55"/>
      <c r="R61" s="55"/>
    </row>
    <row r="62" spans="7:18" x14ac:dyDescent="0.25">
      <c r="G62" s="55"/>
      <c r="L62" s="55"/>
      <c r="R62" s="55"/>
    </row>
  </sheetData>
  <mergeCells count="27">
    <mergeCell ref="O38:O42"/>
    <mergeCell ref="I33:I37"/>
    <mergeCell ref="I38:I42"/>
    <mergeCell ref="Q1:S1"/>
    <mergeCell ref="O3:O7"/>
    <mergeCell ref="O8:O12"/>
    <mergeCell ref="O13:O17"/>
    <mergeCell ref="O18:O22"/>
    <mergeCell ref="O23:O27"/>
    <mergeCell ref="O28:O32"/>
    <mergeCell ref="O33:O37"/>
    <mergeCell ref="A28:A32"/>
    <mergeCell ref="A33:A37"/>
    <mergeCell ref="A38:A42"/>
    <mergeCell ref="K1:M1"/>
    <mergeCell ref="I3:I7"/>
    <mergeCell ref="I8:I12"/>
    <mergeCell ref="I13:I17"/>
    <mergeCell ref="I18:I22"/>
    <mergeCell ref="I23:I27"/>
    <mergeCell ref="I28:I32"/>
    <mergeCell ref="C1:G1"/>
    <mergeCell ref="A3:A7"/>
    <mergeCell ref="A8:A12"/>
    <mergeCell ref="A13:A17"/>
    <mergeCell ref="A18:A22"/>
    <mergeCell ref="A23:A27"/>
  </mergeCells>
  <pageMargins left="0.7" right="0.7" top="0.75" bottom="0.75" header="0.3" footer="0.3"/>
  <pageSetup paperSize="0" orientation="portrait" r:id="rId1"/>
  <drawing r:id="rId2"/>
  <legacy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2">
    <tabColor theme="4" tint="-0.249977111117893"/>
  </sheetPr>
  <dimension ref="A1:O153"/>
  <sheetViews>
    <sheetView zoomScale="85" zoomScaleNormal="85" workbookViewId="0">
      <selection activeCell="D3" sqref="D3"/>
    </sheetView>
  </sheetViews>
  <sheetFormatPr defaultColWidth="9.140625" defaultRowHeight="15" x14ac:dyDescent="0.25"/>
  <cols>
    <col min="1" max="1" width="22.28515625" style="10" bestFit="1" customWidth="1"/>
    <col min="2" max="6" width="16.7109375" style="10" customWidth="1"/>
    <col min="7" max="8" width="13.5703125" style="10" customWidth="1"/>
    <col min="9" max="9" width="16.7109375" style="10" customWidth="1"/>
    <col min="10" max="10" width="13.5703125" style="10" customWidth="1"/>
    <col min="11" max="11" width="21.140625" style="10" bestFit="1" customWidth="1"/>
    <col min="12" max="12" width="12.42578125" style="24" customWidth="1"/>
    <col min="13" max="13" width="21.140625" style="10" bestFit="1" customWidth="1"/>
    <col min="14" max="16384" width="9.140625" style="10"/>
  </cols>
  <sheetData>
    <row r="1" spans="1:15" ht="21" x14ac:dyDescent="0.25">
      <c r="A1" s="3" t="s">
        <v>23</v>
      </c>
      <c r="B1" s="3"/>
      <c r="C1" s="3"/>
      <c r="M1"/>
      <c r="O1"/>
    </row>
    <row r="2" spans="1:15" x14ac:dyDescent="0.25">
      <c r="M2"/>
      <c r="O2"/>
    </row>
    <row r="3" spans="1:15" x14ac:dyDescent="0.25">
      <c r="A3" s="61" t="s">
        <v>15</v>
      </c>
      <c r="B3" s="56" t="s">
        <v>6</v>
      </c>
      <c r="C3" s="56" t="s">
        <v>46</v>
      </c>
      <c r="D3" s="56" t="s">
        <v>44</v>
      </c>
      <c r="E3" s="56" t="s">
        <v>45</v>
      </c>
      <c r="G3" s="61" t="s">
        <v>6</v>
      </c>
      <c r="H3" s="61" t="s">
        <v>46</v>
      </c>
      <c r="I3" s="61" t="s">
        <v>44</v>
      </c>
      <c r="J3" s="61" t="s">
        <v>45</v>
      </c>
      <c r="M3"/>
      <c r="O3"/>
    </row>
    <row r="4" spans="1:15" ht="15.75" thickBot="1" x14ac:dyDescent="0.3">
      <c r="A4" s="50">
        <v>0.2</v>
      </c>
      <c r="B4" s="48">
        <v>25.990241214754178</v>
      </c>
      <c r="C4" s="48">
        <v>32.01647804121378</v>
      </c>
      <c r="D4" s="48">
        <v>58.676320651411949</v>
      </c>
      <c r="E4" s="48">
        <v>24.334766156271101</v>
      </c>
      <c r="G4" s="50">
        <f>2*(B4-B$16)/(B$16+B4)</f>
        <v>-0.59550067160548603</v>
      </c>
      <c r="H4" s="50">
        <f>2*(C4-C$16)/(C$16+C4)</f>
        <v>-0.44066941378168378</v>
      </c>
      <c r="I4" s="50">
        <f t="shared" ref="I4:I27" si="0">2*(D4-D$16)/(D$16+D4)</f>
        <v>-0.24056064265778976</v>
      </c>
      <c r="J4" s="50">
        <f t="shared" ref="J4" si="1">2*(E4-E$16)/(E$16+E4)</f>
        <v>-0.74100287066488701</v>
      </c>
      <c r="K4" s="12" t="s">
        <v>6</v>
      </c>
      <c r="M4"/>
    </row>
    <row r="5" spans="1:15" ht="15.75" thickBot="1" x14ac:dyDescent="0.3">
      <c r="A5" s="50">
        <v>0.3</v>
      </c>
      <c r="B5" s="48">
        <v>28.757383345849174</v>
      </c>
      <c r="C5" s="48">
        <v>34.278455510018553</v>
      </c>
      <c r="D5" s="48">
        <v>60.681961446275771</v>
      </c>
      <c r="E5" s="48">
        <v>27.915419987522998</v>
      </c>
      <c r="G5" s="50">
        <f t="shared" ref="G5:G27" si="2">2*(B5-B$16)/(B$16+B5)</f>
        <v>-0.50196776904459939</v>
      </c>
      <c r="H5" s="50">
        <f t="shared" ref="H5:H27" si="3">2*(C5-C$16)/(C$16+C5)</f>
        <v>-0.37525064446414713</v>
      </c>
      <c r="I5" s="50">
        <f t="shared" si="0"/>
        <v>-0.20737270537095867</v>
      </c>
      <c r="J5" s="50">
        <f t="shared" ref="J5:J27" si="4">2*(E5-E$16)/(E$16+E5)</f>
        <v>-0.6196785383441249</v>
      </c>
      <c r="K5" s="7" t="s">
        <v>17</v>
      </c>
      <c r="L5" s="32">
        <f t="array" ref="L5">INDEX(LINEST(G4:G27,A4:A27^{1}),1)</f>
        <v>0.58432145756535281</v>
      </c>
    </row>
    <row r="6" spans="1:15" ht="15.75" thickBot="1" x14ac:dyDescent="0.3">
      <c r="A6" s="50">
        <v>0.5</v>
      </c>
      <c r="B6" s="48">
        <v>34.281202624109234</v>
      </c>
      <c r="C6" s="48">
        <v>38.802410447628077</v>
      </c>
      <c r="D6" s="48">
        <v>64.693243036003466</v>
      </c>
      <c r="E6" s="48">
        <v>35.07672765002679</v>
      </c>
      <c r="G6" s="50">
        <f t="shared" si="2"/>
        <v>-0.33406271026566864</v>
      </c>
      <c r="H6" s="50">
        <f t="shared" si="3"/>
        <v>-0.25439857067488947</v>
      </c>
      <c r="I6" s="50">
        <f t="shared" si="0"/>
        <v>-0.14386151087789831</v>
      </c>
      <c r="J6" s="50">
        <f t="shared" si="4"/>
        <v>-0.40663036847666695</v>
      </c>
      <c r="K6" s="11" t="s">
        <v>18</v>
      </c>
      <c r="L6" s="32">
        <f>INDEX(LINEST(G4:G27,A4:A27^{1}),1,2)</f>
        <v>-0.61301020828559816</v>
      </c>
    </row>
    <row r="7" spans="1:15" x14ac:dyDescent="0.25">
      <c r="A7" s="50">
        <v>0.55000000000000004</v>
      </c>
      <c r="B7" s="48">
        <v>35.659977238688889</v>
      </c>
      <c r="C7" s="48">
        <v>39.93339918203047</v>
      </c>
      <c r="D7" s="48">
        <v>65.696063433435384</v>
      </c>
      <c r="E7" s="48">
        <v>36.86705456565273</v>
      </c>
      <c r="G7" s="50">
        <f t="shared" si="2"/>
        <v>-0.29560938693376532</v>
      </c>
      <c r="H7" s="50">
        <f t="shared" si="3"/>
        <v>-0.22608295458241412</v>
      </c>
      <c r="I7" s="50">
        <f t="shared" si="0"/>
        <v>-0.12855068500167202</v>
      </c>
      <c r="J7" s="50">
        <f t="shared" si="4"/>
        <v>-0.35867492576758958</v>
      </c>
      <c r="K7" s="30"/>
    </row>
    <row r="8" spans="1:15" ht="15.75" thickBot="1" x14ac:dyDescent="0.3">
      <c r="A8" s="50">
        <v>0.6</v>
      </c>
      <c r="B8" s="48">
        <v>37.037879771274341</v>
      </c>
      <c r="C8" s="48">
        <v>41.064387916432835</v>
      </c>
      <c r="D8" s="48">
        <v>66.698883830867302</v>
      </c>
      <c r="E8" s="48">
        <v>38.657381481278669</v>
      </c>
      <c r="G8" s="50">
        <f t="shared" si="2"/>
        <v>-0.25842570535156362</v>
      </c>
      <c r="H8" s="50">
        <f t="shared" si="3"/>
        <v>-0.1984698128683301</v>
      </c>
      <c r="I8" s="50">
        <f t="shared" si="0"/>
        <v>-0.11345699917028765</v>
      </c>
      <c r="J8" s="50">
        <f t="shared" si="4"/>
        <v>-0.31259330183065992</v>
      </c>
      <c r="K8" s="12" t="s">
        <v>28</v>
      </c>
    </row>
    <row r="9" spans="1:15" ht="15.75" thickBot="1" x14ac:dyDescent="0.3">
      <c r="A9" s="50">
        <v>0.65</v>
      </c>
      <c r="B9" s="48">
        <v>38.414910221865632</v>
      </c>
      <c r="C9" s="48">
        <v>42.195376650835207</v>
      </c>
      <c r="D9" s="48">
        <v>67.701704228299221</v>
      </c>
      <c r="E9" s="48">
        <v>40.447708396904616</v>
      </c>
      <c r="G9" s="50">
        <f t="shared" si="2"/>
        <v>-0.22244982697208004</v>
      </c>
      <c r="H9" s="50">
        <f t="shared" si="3"/>
        <v>-0.17153332458287376</v>
      </c>
      <c r="I9" s="50">
        <f t="shared" si="0"/>
        <v>-9.8575866647722873E-2</v>
      </c>
      <c r="J9" s="50">
        <f t="shared" si="4"/>
        <v>-0.26827777439520378</v>
      </c>
      <c r="K9" s="7" t="s">
        <v>17</v>
      </c>
      <c r="L9" s="32">
        <f>INDEX(LINEST(H4:H27,A4:A27^{1}),1)</f>
        <v>0.45648597573912286</v>
      </c>
      <c r="M9" s="24"/>
    </row>
    <row r="10" spans="1:15" ht="15.75" thickBot="1" x14ac:dyDescent="0.3">
      <c r="A10" s="50">
        <v>0.7</v>
      </c>
      <c r="B10" s="48">
        <v>39.791068590462785</v>
      </c>
      <c r="C10" s="48">
        <v>43.326365385237601</v>
      </c>
      <c r="D10" s="48">
        <v>68.704524625731125</v>
      </c>
      <c r="E10" s="48">
        <v>42.238035312530585</v>
      </c>
      <c r="G10" s="50">
        <f t="shared" si="2"/>
        <v>-0.18762386495487546</v>
      </c>
      <c r="H10" s="50">
        <f t="shared" si="3"/>
        <v>-0.14524891893129491</v>
      </c>
      <c r="I10" s="50">
        <f t="shared" si="0"/>
        <v>-8.3902828977998264E-2</v>
      </c>
      <c r="J10" s="50">
        <f t="shared" si="4"/>
        <v>-0.22562872293666833</v>
      </c>
      <c r="K10" s="11" t="s">
        <v>18</v>
      </c>
      <c r="L10" s="32">
        <f>INDEX(LINEST(H4:H27,A4:A27^{1}),1,2)</f>
        <v>-0.47386824980221348</v>
      </c>
    </row>
    <row r="11" spans="1:15" x14ac:dyDescent="0.25">
      <c r="A11" s="50">
        <v>0.75</v>
      </c>
      <c r="B11" s="48">
        <v>41.166354877065764</v>
      </c>
      <c r="C11" s="48">
        <v>44.457354119639994</v>
      </c>
      <c r="D11" s="48">
        <v>69.707345023163086</v>
      </c>
      <c r="E11" s="48">
        <v>44.028362228156524</v>
      </c>
      <c r="G11" s="50">
        <f t="shared" si="2"/>
        <v>-0.15389357346935073</v>
      </c>
      <c r="H11" s="50">
        <f t="shared" si="3"/>
        <v>-0.11959320051883762</v>
      </c>
      <c r="I11" s="50">
        <f t="shared" si="0"/>
        <v>-6.9433551531706314E-2</v>
      </c>
      <c r="J11" s="50">
        <f t="shared" si="4"/>
        <v>-0.18455388107227833</v>
      </c>
      <c r="K11" s="30"/>
    </row>
    <row r="12" spans="1:15" ht="15.75" thickBot="1" x14ac:dyDescent="0.3">
      <c r="A12" s="50">
        <v>0.8</v>
      </c>
      <c r="B12" s="48">
        <v>42.540769081674618</v>
      </c>
      <c r="C12" s="48">
        <v>45.588342854042367</v>
      </c>
      <c r="D12" s="48">
        <v>70.710165420594976</v>
      </c>
      <c r="E12" s="48">
        <v>45.818689143782457</v>
      </c>
      <c r="G12" s="50">
        <f t="shared" si="2"/>
        <v>-0.12120806585787373</v>
      </c>
      <c r="H12" s="50">
        <f t="shared" si="3"/>
        <v>-9.4543879896441876E-2</v>
      </c>
      <c r="I12" s="50">
        <f t="shared" si="0"/>
        <v>-5.5163819236798972E-2</v>
      </c>
      <c r="J12" s="50">
        <f t="shared" si="4"/>
        <v>-0.14496767024053323</v>
      </c>
      <c r="K12" s="12" t="s">
        <v>28</v>
      </c>
    </row>
    <row r="13" spans="1:15" ht="15.75" thickBot="1" x14ac:dyDescent="0.3">
      <c r="A13" s="50">
        <v>0.85</v>
      </c>
      <c r="B13" s="48">
        <v>43.914311204289326</v>
      </c>
      <c r="C13" s="48">
        <v>46.719331588444739</v>
      </c>
      <c r="D13" s="48">
        <v>71.712985818026908</v>
      </c>
      <c r="E13" s="48">
        <v>47.609016059408404</v>
      </c>
      <c r="G13" s="50">
        <f t="shared" si="2"/>
        <v>-8.9519558578924505E-2</v>
      </c>
      <c r="H13" s="50">
        <f t="shared" si="3"/>
        <v>-7.0079708973782268E-2</v>
      </c>
      <c r="I13" s="50">
        <f t="shared" si="0"/>
        <v>-4.1089532484784627E-2</v>
      </c>
      <c r="J13" s="50">
        <f t="shared" si="4"/>
        <v>-0.10679060453747784</v>
      </c>
      <c r="K13" s="7" t="s">
        <v>17</v>
      </c>
      <c r="L13" s="32" cm="1">
        <f t="array" ref="L13">_xlfn.SINGLE(INDEX(LINEST(I4:I27,A4:A27^{1}),1))</f>
        <v>0.26866798958818977</v>
      </c>
    </row>
    <row r="14" spans="1:15" ht="15.75" thickBot="1" x14ac:dyDescent="0.3">
      <c r="A14" s="50">
        <v>0.9</v>
      </c>
      <c r="B14" s="48">
        <v>45.286981244909832</v>
      </c>
      <c r="C14" s="48">
        <v>47.850320322847132</v>
      </c>
      <c r="D14" s="48">
        <v>72.715806215458798</v>
      </c>
      <c r="E14" s="48">
        <v>49.399342975034358</v>
      </c>
      <c r="G14" s="50">
        <f t="shared" si="2"/>
        <v>-5.8783138220403285E-2</v>
      </c>
      <c r="H14" s="50">
        <f t="shared" si="3"/>
        <v>-4.6180420906288128E-2</v>
      </c>
      <c r="I14" s="50">
        <f t="shared" si="0"/>
        <v>-2.7206703204005932E-2</v>
      </c>
      <c r="J14" s="50">
        <f t="shared" si="4"/>
        <v>-6.9948757999417771E-2</v>
      </c>
      <c r="K14" s="11" t="s">
        <v>18</v>
      </c>
      <c r="L14" s="32" cm="1">
        <f t="array" ref="L14">INDEX(LINEST(I4:I27,A4:A27^{1}),1,2)</f>
        <v>-0.27477198972173994</v>
      </c>
    </row>
    <row r="15" spans="1:15" x14ac:dyDescent="0.25">
      <c r="A15" s="50">
        <v>0.95</v>
      </c>
      <c r="B15" s="48">
        <v>46.658779203536184</v>
      </c>
      <c r="C15" s="48">
        <v>48.981309057249518</v>
      </c>
      <c r="D15" s="48">
        <v>73.718626612890731</v>
      </c>
      <c r="E15" s="48">
        <v>51.189669890660284</v>
      </c>
      <c r="G15" s="50">
        <f t="shared" si="2"/>
        <v>-2.8956549193978855E-2</v>
      </c>
      <c r="H15" s="50">
        <f t="shared" si="3"/>
        <v>-2.2826674098701812E-2</v>
      </c>
      <c r="I15" s="50">
        <f t="shared" si="0"/>
        <v>-1.3511451092073497E-2</v>
      </c>
      <c r="J15" s="50">
        <f t="shared" si="4"/>
        <v>-3.4373286819366064E-2</v>
      </c>
      <c r="K15" s="30"/>
    </row>
    <row r="16" spans="1:15" ht="15.75" thickBot="1" x14ac:dyDescent="0.3">
      <c r="A16" s="50">
        <v>1</v>
      </c>
      <c r="B16" s="48">
        <v>48.029705080168377</v>
      </c>
      <c r="C16" s="48">
        <v>50.112297791651898</v>
      </c>
      <c r="D16" s="48">
        <v>74.721447010322649</v>
      </c>
      <c r="E16" s="48">
        <v>52.979996806286238</v>
      </c>
      <c r="G16" s="50">
        <f t="shared" si="2"/>
        <v>0</v>
      </c>
      <c r="H16" s="50">
        <f t="shared" si="3"/>
        <v>0</v>
      </c>
      <c r="I16" s="50">
        <f t="shared" si="0"/>
        <v>0</v>
      </c>
      <c r="J16" s="50">
        <f t="shared" si="4"/>
        <v>0</v>
      </c>
      <c r="K16" s="12" t="s">
        <v>45</v>
      </c>
    </row>
    <row r="17" spans="1:12" ht="15.75" thickBot="1" x14ac:dyDescent="0.3">
      <c r="A17" s="50">
        <v>1.05</v>
      </c>
      <c r="B17" s="48">
        <v>49.399758874806452</v>
      </c>
      <c r="C17" s="48">
        <v>51.24328652605427</v>
      </c>
      <c r="D17" s="48">
        <v>75.724267407754567</v>
      </c>
      <c r="E17" s="48">
        <v>54.770323721912185</v>
      </c>
      <c r="G17" s="50">
        <f t="shared" si="2"/>
        <v>2.8124013804924946E-2</v>
      </c>
      <c r="H17" s="50">
        <f t="shared" si="3"/>
        <v>2.2317245606462272E-2</v>
      </c>
      <c r="I17" s="50">
        <f t="shared" si="0"/>
        <v>1.3331325539059977E-2</v>
      </c>
      <c r="J17" s="50">
        <f t="shared" si="4"/>
        <v>3.3231027190446565E-2</v>
      </c>
      <c r="K17" s="7" t="s">
        <v>17</v>
      </c>
      <c r="L17" s="32">
        <f>INDEX(LINEST(J4:J27,A4:A27^{1}),1)</f>
        <v>0.69984355282747146</v>
      </c>
    </row>
    <row r="18" spans="1:12" ht="15.75" thickBot="1" x14ac:dyDescent="0.3">
      <c r="A18" s="50">
        <v>1.1000000000000001</v>
      </c>
      <c r="B18" s="48">
        <v>50.768940587450317</v>
      </c>
      <c r="C18" s="48">
        <v>52.374275260456663</v>
      </c>
      <c r="D18" s="48">
        <v>76.7270878051865</v>
      </c>
      <c r="E18" s="48">
        <v>56.560650637538139</v>
      </c>
      <c r="G18" s="50">
        <f t="shared" si="2"/>
        <v>5.5450871593875004E-2</v>
      </c>
      <c r="H18" s="50">
        <f t="shared" si="3"/>
        <v>4.4141928087588204E-2</v>
      </c>
      <c r="I18" s="50">
        <f t="shared" si="0"/>
        <v>2.6486103643156039E-2</v>
      </c>
      <c r="J18" s="50">
        <f t="shared" si="4"/>
        <v>6.5375801856350432E-2</v>
      </c>
      <c r="K18" s="11" t="s">
        <v>18</v>
      </c>
      <c r="L18" s="32">
        <f>INDEX(LINEST(J4:J27,A4:A27^{1}),1,2)</f>
        <v>-0.73958119457871108</v>
      </c>
    </row>
    <row r="19" spans="1:12" x14ac:dyDescent="0.25">
      <c r="A19" s="50">
        <v>1.1499999999999999</v>
      </c>
      <c r="B19" s="48">
        <v>52.137250218100043</v>
      </c>
      <c r="C19" s="48">
        <v>53.50526399485905</v>
      </c>
      <c r="D19" s="48">
        <v>77.729908202618404</v>
      </c>
      <c r="E19" s="48">
        <v>58.350977553164086</v>
      </c>
      <c r="G19" s="50">
        <f t="shared" si="2"/>
        <v>8.2013976080246756E-2</v>
      </c>
      <c r="H19" s="50">
        <f t="shared" si="3"/>
        <v>6.5490176466376809E-2</v>
      </c>
      <c r="I19" s="50">
        <f t="shared" si="0"/>
        <v>3.9467818283328418E-2</v>
      </c>
      <c r="J19" s="50">
        <f t="shared" si="4"/>
        <v>9.6486728473906186E-2</v>
      </c>
      <c r="K19" s="30"/>
    </row>
    <row r="20" spans="1:12" x14ac:dyDescent="0.25">
      <c r="A20" s="50">
        <v>1.2</v>
      </c>
      <c r="B20" s="48">
        <v>53.504687766755623</v>
      </c>
      <c r="C20" s="48">
        <v>54.636252729261415</v>
      </c>
      <c r="D20" s="48">
        <v>78.732728600050351</v>
      </c>
      <c r="E20" s="48">
        <v>60.14130446879004</v>
      </c>
      <c r="G20" s="50">
        <f t="shared" si="2"/>
        <v>0.1078448894620659</v>
      </c>
      <c r="H20" s="50">
        <f t="shared" si="3"/>
        <v>8.6377423174104892E-2</v>
      </c>
      <c r="I20" s="50">
        <f t="shared" si="0"/>
        <v>5.2279862359855551E-2</v>
      </c>
      <c r="J20" s="50">
        <f t="shared" si="4"/>
        <v>0.1266128939781147</v>
      </c>
      <c r="K20" s="30"/>
    </row>
    <row r="21" spans="1:12" x14ac:dyDescent="0.25">
      <c r="A21" s="50">
        <v>1.25</v>
      </c>
      <c r="B21" s="48">
        <v>54.871253233417022</v>
      </c>
      <c r="C21" s="48">
        <v>55.767241463663787</v>
      </c>
      <c r="D21" s="48">
        <v>79.735548997482255</v>
      </c>
      <c r="E21" s="48">
        <v>61.931631384415986</v>
      </c>
      <c r="G21" s="50">
        <f t="shared" si="2"/>
        <v>0.13297345846672057</v>
      </c>
      <c r="H21" s="50">
        <f t="shared" si="3"/>
        <v>0.10681844125474853</v>
      </c>
      <c r="I21" s="50">
        <f t="shared" si="0"/>
        <v>6.4925540658659936E-2</v>
      </c>
      <c r="J21" s="50">
        <f t="shared" si="4"/>
        <v>0.15580032619978221</v>
      </c>
      <c r="K21" s="30"/>
    </row>
    <row r="22" spans="1:12" x14ac:dyDescent="0.25">
      <c r="A22" s="50">
        <v>1.3</v>
      </c>
      <c r="B22" s="48">
        <v>56.236946618084296</v>
      </c>
      <c r="C22" s="48">
        <v>56.898230198066194</v>
      </c>
      <c r="D22" s="48">
        <v>80.73836939491423</v>
      </c>
      <c r="E22" s="48">
        <v>63.721958300041877</v>
      </c>
      <c r="G22" s="50">
        <f t="shared" si="2"/>
        <v>0.15742792933770711</v>
      </c>
      <c r="H22" s="50">
        <f t="shared" si="3"/>
        <v>0.1268273792101336</v>
      </c>
      <c r="I22" s="50">
        <f t="shared" si="0"/>
        <v>7.7408072693296859E-2</v>
      </c>
      <c r="J22" s="50">
        <f t="shared" si="4"/>
        <v>0.18409222851439891</v>
      </c>
      <c r="K22" s="30"/>
    </row>
    <row r="23" spans="1:12" x14ac:dyDescent="0.25">
      <c r="A23" s="50">
        <v>1.35</v>
      </c>
      <c r="B23" s="48">
        <v>57.601767920757368</v>
      </c>
      <c r="C23" s="48">
        <v>58.029218932468552</v>
      </c>
      <c r="D23" s="48">
        <v>81.741189792346077</v>
      </c>
      <c r="E23" s="48">
        <v>65.512285215667887</v>
      </c>
      <c r="G23" s="50">
        <f t="shared" si="2"/>
        <v>0.18123505369474688</v>
      </c>
      <c r="H23" s="50">
        <f t="shared" si="3"/>
        <v>0.14641779365853527</v>
      </c>
      <c r="I23" s="50">
        <f t="shared" si="0"/>
        <v>8.9730595437641184E-2</v>
      </c>
      <c r="J23" s="50">
        <f t="shared" si="4"/>
        <v>0.2115291932188407</v>
      </c>
      <c r="K23" s="30"/>
    </row>
    <row r="24" spans="1:12" x14ac:dyDescent="0.25">
      <c r="A24" s="50">
        <v>1.4</v>
      </c>
      <c r="B24" s="48">
        <v>58.965717141436294</v>
      </c>
      <c r="C24" s="48">
        <v>59.160207666870939</v>
      </c>
      <c r="D24" s="48">
        <v>82.74401018977801</v>
      </c>
      <c r="E24" s="48">
        <v>67.302612131293813</v>
      </c>
      <c r="G24" s="50">
        <f t="shared" si="2"/>
        <v>0.20442018610137699</v>
      </c>
      <c r="H24" s="50">
        <f t="shared" si="3"/>
        <v>0.16560267996515202</v>
      </c>
      <c r="I24" s="50">
        <f t="shared" si="0"/>
        <v>0.10189616595417006</v>
      </c>
      <c r="J24" s="50">
        <f t="shared" si="4"/>
        <v>0.23814939585223349</v>
      </c>
      <c r="K24" s="30"/>
    </row>
    <row r="25" spans="1:12" x14ac:dyDescent="0.25">
      <c r="A25" s="50">
        <v>1.45</v>
      </c>
      <c r="B25" s="48">
        <v>60.328794280121066</v>
      </c>
      <c r="C25" s="48">
        <v>60.291196401273325</v>
      </c>
      <c r="D25" s="48">
        <v>83.746830587209914</v>
      </c>
      <c r="E25" s="48">
        <v>69.092939046919753</v>
      </c>
      <c r="G25" s="50">
        <f t="shared" si="2"/>
        <v>0.22700737408809085</v>
      </c>
      <c r="H25" s="50">
        <f t="shared" si="3"/>
        <v>0.18439450098987362</v>
      </c>
      <c r="I25" s="50">
        <f t="shared" si="0"/>
        <v>0.11390776392243435</v>
      </c>
      <c r="J25" s="50">
        <f t="shared" si="4"/>
        <v>0.26398877241732766</v>
      </c>
      <c r="K25" s="30"/>
    </row>
    <row r="26" spans="1:12" x14ac:dyDescent="0.25">
      <c r="A26" s="50">
        <v>1.5</v>
      </c>
      <c r="B26" s="48">
        <v>61.690999336811736</v>
      </c>
      <c r="C26" s="48">
        <v>61.422185135675726</v>
      </c>
      <c r="D26" s="48">
        <v>84.749650984641846</v>
      </c>
      <c r="E26" s="48">
        <v>70.883265962545707</v>
      </c>
      <c r="G26" s="50">
        <f t="shared" si="2"/>
        <v>0.24901944130298839</v>
      </c>
      <c r="H26" s="50">
        <f t="shared" si="3"/>
        <v>0.202805214085997</v>
      </c>
      <c r="I26" s="50">
        <f t="shared" si="0"/>
        <v>0.12576829407214404</v>
      </c>
      <c r="J26" s="50">
        <f t="shared" si="4"/>
        <v>0.28908118123244719</v>
      </c>
      <c r="K26" s="30"/>
    </row>
    <row r="27" spans="1:12" x14ac:dyDescent="0.25">
      <c r="A27" s="50">
        <v>2</v>
      </c>
      <c r="B27" s="48">
        <v>75.265085394039232</v>
      </c>
      <c r="C27" s="48">
        <v>72.732072479699525</v>
      </c>
      <c r="D27" s="48">
        <v>94.777854958961058</v>
      </c>
      <c r="E27" s="48">
        <v>88.78653511880519</v>
      </c>
      <c r="G27" s="50">
        <f t="shared" si="2"/>
        <v>0.44179288044726112</v>
      </c>
      <c r="H27" s="50">
        <f t="shared" si="3"/>
        <v>0.36826717639697637</v>
      </c>
      <c r="I27" s="50">
        <f t="shared" si="0"/>
        <v>0.23665475569065161</v>
      </c>
      <c r="J27" s="50">
        <f t="shared" si="4"/>
        <v>0.50514797570753733</v>
      </c>
      <c r="K27" s="30"/>
    </row>
    <row r="30" spans="1:12" x14ac:dyDescent="0.25">
      <c r="L30" s="10"/>
    </row>
    <row r="31" spans="1:12" x14ac:dyDescent="0.25">
      <c r="L31" s="10"/>
    </row>
    <row r="32" spans="1:12" x14ac:dyDescent="0.25">
      <c r="L32" s="10"/>
    </row>
    <row r="33" spans="12:12" x14ac:dyDescent="0.25">
      <c r="L33" s="10"/>
    </row>
    <row r="34" spans="12:12" x14ac:dyDescent="0.25">
      <c r="L34" s="10"/>
    </row>
    <row r="35" spans="12:12" x14ac:dyDescent="0.25">
      <c r="L35" s="10"/>
    </row>
    <row r="36" spans="12:12" x14ac:dyDescent="0.25">
      <c r="L36" s="10"/>
    </row>
    <row r="37" spans="12:12" x14ac:dyDescent="0.25">
      <c r="L37" s="10"/>
    </row>
    <row r="38" spans="12:12" x14ac:dyDescent="0.25">
      <c r="L38" s="10"/>
    </row>
    <row r="39" spans="12:12" x14ac:dyDescent="0.25">
      <c r="L39" s="10"/>
    </row>
    <row r="40" spans="12:12" x14ac:dyDescent="0.25">
      <c r="L40" s="10"/>
    </row>
    <row r="41" spans="12:12" x14ac:dyDescent="0.25">
      <c r="L41" s="10"/>
    </row>
    <row r="42" spans="12:12" x14ac:dyDescent="0.25">
      <c r="L42" s="10"/>
    </row>
    <row r="43" spans="12:12" x14ac:dyDescent="0.25">
      <c r="L43" s="10"/>
    </row>
    <row r="44" spans="12:12" x14ac:dyDescent="0.25">
      <c r="L44" s="10"/>
    </row>
    <row r="45" spans="12:12" x14ac:dyDescent="0.25">
      <c r="L45" s="10"/>
    </row>
    <row r="46" spans="12:12" x14ac:dyDescent="0.25">
      <c r="L46" s="10"/>
    </row>
    <row r="47" spans="12:12" x14ac:dyDescent="0.25">
      <c r="L47" s="10"/>
    </row>
    <row r="48" spans="12:12" x14ac:dyDescent="0.25">
      <c r="L48" s="10"/>
    </row>
    <row r="49" spans="12:12" x14ac:dyDescent="0.25">
      <c r="L49" s="10"/>
    </row>
    <row r="50" spans="12:12" x14ac:dyDescent="0.25">
      <c r="L50" s="10"/>
    </row>
    <row r="51" spans="12:12" x14ac:dyDescent="0.25">
      <c r="L51" s="10"/>
    </row>
    <row r="52" spans="12:12" x14ac:dyDescent="0.25">
      <c r="L52" s="10"/>
    </row>
    <row r="53" spans="12:12" x14ac:dyDescent="0.25">
      <c r="L53" s="10"/>
    </row>
    <row r="54" spans="12:12" x14ac:dyDescent="0.25">
      <c r="L54" s="10"/>
    </row>
    <row r="55" spans="12:12" x14ac:dyDescent="0.25">
      <c r="L55" s="10"/>
    </row>
    <row r="56" spans="12:12" x14ac:dyDescent="0.25">
      <c r="L56" s="10"/>
    </row>
    <row r="57" spans="12:12" x14ac:dyDescent="0.25">
      <c r="L57" s="10"/>
    </row>
    <row r="58" spans="12:12" x14ac:dyDescent="0.25">
      <c r="L58" s="10"/>
    </row>
    <row r="59" spans="12:12" x14ac:dyDescent="0.25">
      <c r="L59" s="10"/>
    </row>
    <row r="60" spans="12:12" x14ac:dyDescent="0.25">
      <c r="L60" s="10"/>
    </row>
    <row r="61" spans="12:12" x14ac:dyDescent="0.25">
      <c r="L61" s="10"/>
    </row>
    <row r="62" spans="12:12" x14ac:dyDescent="0.25">
      <c r="L62" s="10"/>
    </row>
    <row r="63" spans="12:12" x14ac:dyDescent="0.25">
      <c r="L63" s="10"/>
    </row>
    <row r="64" spans="12:12" x14ac:dyDescent="0.25">
      <c r="L64" s="10"/>
    </row>
    <row r="65" spans="12:12" x14ac:dyDescent="0.25">
      <c r="L65" s="10"/>
    </row>
    <row r="66" spans="12:12" x14ac:dyDescent="0.25">
      <c r="L66" s="10"/>
    </row>
    <row r="67" spans="12:12" x14ac:dyDescent="0.25">
      <c r="L67" s="10"/>
    </row>
    <row r="68" spans="12:12" x14ac:dyDescent="0.25">
      <c r="L68" s="10"/>
    </row>
    <row r="69" spans="12:12" x14ac:dyDescent="0.25">
      <c r="L69" s="10"/>
    </row>
    <row r="70" spans="12:12" x14ac:dyDescent="0.25">
      <c r="L70" s="10"/>
    </row>
    <row r="71" spans="12:12" x14ac:dyDescent="0.25">
      <c r="L71" s="10"/>
    </row>
    <row r="72" spans="12:12" x14ac:dyDescent="0.25">
      <c r="L72" s="10"/>
    </row>
    <row r="73" spans="12:12" x14ac:dyDescent="0.25">
      <c r="L73" s="10"/>
    </row>
    <row r="74" spans="12:12" x14ac:dyDescent="0.25">
      <c r="L74" s="10"/>
    </row>
    <row r="75" spans="12:12" x14ac:dyDescent="0.25">
      <c r="L75" s="10"/>
    </row>
    <row r="76" spans="12:12" x14ac:dyDescent="0.25">
      <c r="L76" s="10"/>
    </row>
    <row r="77" spans="12:12" x14ac:dyDescent="0.25">
      <c r="L77" s="10"/>
    </row>
    <row r="78" spans="12:12" x14ac:dyDescent="0.25">
      <c r="L78" s="10"/>
    </row>
    <row r="79" spans="12:12" x14ac:dyDescent="0.25">
      <c r="L79" s="10"/>
    </row>
    <row r="80" spans="12:12" x14ac:dyDescent="0.25">
      <c r="L80" s="10"/>
    </row>
    <row r="81" spans="12:12" x14ac:dyDescent="0.25">
      <c r="L81" s="10"/>
    </row>
    <row r="82" spans="12:12" x14ac:dyDescent="0.25">
      <c r="L82" s="10"/>
    </row>
    <row r="83" spans="12:12" x14ac:dyDescent="0.25">
      <c r="L83" s="10"/>
    </row>
    <row r="84" spans="12:12" x14ac:dyDescent="0.25">
      <c r="L84" s="10"/>
    </row>
    <row r="85" spans="12:12" x14ac:dyDescent="0.25">
      <c r="L85" s="10"/>
    </row>
    <row r="86" spans="12:12" x14ac:dyDescent="0.25">
      <c r="L86" s="10"/>
    </row>
    <row r="87" spans="12:12" x14ac:dyDescent="0.25">
      <c r="L87" s="10"/>
    </row>
    <row r="88" spans="12:12" x14ac:dyDescent="0.25">
      <c r="L88" s="10"/>
    </row>
    <row r="89" spans="12:12" x14ac:dyDescent="0.25">
      <c r="L89" s="10"/>
    </row>
    <row r="90" spans="12:12" x14ac:dyDescent="0.25">
      <c r="L90" s="10"/>
    </row>
    <row r="91" spans="12:12" x14ac:dyDescent="0.25">
      <c r="L91" s="10"/>
    </row>
    <row r="92" spans="12:12" x14ac:dyDescent="0.25">
      <c r="L92" s="10"/>
    </row>
    <row r="93" spans="12:12" x14ac:dyDescent="0.25">
      <c r="L93" s="10"/>
    </row>
    <row r="94" spans="12:12" x14ac:dyDescent="0.25">
      <c r="L94" s="10"/>
    </row>
    <row r="95" spans="12:12" x14ac:dyDescent="0.25">
      <c r="L95" s="10"/>
    </row>
    <row r="96" spans="12:12" x14ac:dyDescent="0.25">
      <c r="L96" s="10"/>
    </row>
    <row r="97" spans="12:12" x14ac:dyDescent="0.25">
      <c r="L97" s="10"/>
    </row>
    <row r="98" spans="12:12" x14ac:dyDescent="0.25">
      <c r="L98" s="10"/>
    </row>
    <row r="99" spans="12:12" x14ac:dyDescent="0.25">
      <c r="L99" s="10"/>
    </row>
    <row r="100" spans="12:12" x14ac:dyDescent="0.25">
      <c r="L100" s="10"/>
    </row>
    <row r="101" spans="12:12" x14ac:dyDescent="0.25">
      <c r="L101" s="10"/>
    </row>
    <row r="102" spans="12:12" x14ac:dyDescent="0.25">
      <c r="L102" s="10"/>
    </row>
    <row r="103" spans="12:12" x14ac:dyDescent="0.25">
      <c r="L103" s="10"/>
    </row>
    <row r="104" spans="12:12" x14ac:dyDescent="0.25">
      <c r="L104" s="10"/>
    </row>
    <row r="105" spans="12:12" x14ac:dyDescent="0.25">
      <c r="L105" s="10"/>
    </row>
    <row r="106" spans="12:12" x14ac:dyDescent="0.25">
      <c r="L106" s="10"/>
    </row>
    <row r="107" spans="12:12" x14ac:dyDescent="0.25">
      <c r="L107" s="10"/>
    </row>
    <row r="108" spans="12:12" x14ac:dyDescent="0.25">
      <c r="L108" s="10"/>
    </row>
    <row r="109" spans="12:12" x14ac:dyDescent="0.25">
      <c r="L109" s="10"/>
    </row>
    <row r="110" spans="12:12" x14ac:dyDescent="0.25">
      <c r="L110" s="10"/>
    </row>
    <row r="111" spans="12:12" x14ac:dyDescent="0.25">
      <c r="L111" s="10"/>
    </row>
    <row r="112" spans="12:12" x14ac:dyDescent="0.25">
      <c r="L112" s="10"/>
    </row>
    <row r="113" spans="12:12" x14ac:dyDescent="0.25">
      <c r="L113" s="10"/>
    </row>
    <row r="114" spans="12:12" x14ac:dyDescent="0.25">
      <c r="L114" s="10"/>
    </row>
    <row r="115" spans="12:12" x14ac:dyDescent="0.25">
      <c r="L115" s="10"/>
    </row>
    <row r="116" spans="12:12" x14ac:dyDescent="0.25">
      <c r="L116" s="10"/>
    </row>
    <row r="117" spans="12:12" x14ac:dyDescent="0.25">
      <c r="L117" s="10"/>
    </row>
    <row r="118" spans="12:12" x14ac:dyDescent="0.25">
      <c r="L118" s="10"/>
    </row>
    <row r="119" spans="12:12" x14ac:dyDescent="0.25">
      <c r="L119" s="10"/>
    </row>
    <row r="120" spans="12:12" x14ac:dyDescent="0.25">
      <c r="L120" s="10"/>
    </row>
    <row r="121" spans="12:12" x14ac:dyDescent="0.25">
      <c r="L121" s="10"/>
    </row>
    <row r="122" spans="12:12" x14ac:dyDescent="0.25">
      <c r="L122" s="10"/>
    </row>
    <row r="123" spans="12:12" x14ac:dyDescent="0.25">
      <c r="L123" s="10"/>
    </row>
    <row r="124" spans="12:12" x14ac:dyDescent="0.25">
      <c r="L124" s="10"/>
    </row>
    <row r="125" spans="12:12" x14ac:dyDescent="0.25">
      <c r="L125" s="10"/>
    </row>
    <row r="126" spans="12:12" x14ac:dyDescent="0.25">
      <c r="L126" s="10"/>
    </row>
    <row r="127" spans="12:12" x14ac:dyDescent="0.25">
      <c r="L127" s="10"/>
    </row>
    <row r="128" spans="12:12" x14ac:dyDescent="0.25">
      <c r="L128" s="10"/>
    </row>
    <row r="129" spans="12:12" x14ac:dyDescent="0.25">
      <c r="L129" s="10"/>
    </row>
    <row r="130" spans="12:12" x14ac:dyDescent="0.25">
      <c r="L130" s="10"/>
    </row>
    <row r="131" spans="12:12" x14ac:dyDescent="0.25">
      <c r="L131" s="10"/>
    </row>
    <row r="132" spans="12:12" x14ac:dyDescent="0.25">
      <c r="L132" s="10"/>
    </row>
    <row r="133" spans="12:12" x14ac:dyDescent="0.25">
      <c r="L133" s="10"/>
    </row>
    <row r="134" spans="12:12" x14ac:dyDescent="0.25">
      <c r="L134" s="10"/>
    </row>
    <row r="135" spans="12:12" x14ac:dyDescent="0.25">
      <c r="L135" s="10"/>
    </row>
    <row r="136" spans="12:12" x14ac:dyDescent="0.25">
      <c r="L136" s="10"/>
    </row>
    <row r="137" spans="12:12" x14ac:dyDescent="0.25">
      <c r="L137" s="10"/>
    </row>
    <row r="138" spans="12:12" x14ac:dyDescent="0.25">
      <c r="L138" s="10"/>
    </row>
    <row r="139" spans="12:12" x14ac:dyDescent="0.25">
      <c r="L139" s="10"/>
    </row>
    <row r="140" spans="12:12" x14ac:dyDescent="0.25">
      <c r="L140" s="10"/>
    </row>
    <row r="141" spans="12:12" x14ac:dyDescent="0.25">
      <c r="L141" s="10"/>
    </row>
    <row r="142" spans="12:12" x14ac:dyDescent="0.25">
      <c r="L142" s="10"/>
    </row>
    <row r="143" spans="12:12" x14ac:dyDescent="0.25">
      <c r="L143" s="10"/>
    </row>
    <row r="144" spans="12:12" x14ac:dyDescent="0.25">
      <c r="L144" s="10"/>
    </row>
    <row r="145" spans="12:12" x14ac:dyDescent="0.25">
      <c r="L145" s="10"/>
    </row>
    <row r="146" spans="12:12" x14ac:dyDescent="0.25">
      <c r="L146" s="10"/>
    </row>
    <row r="147" spans="12:12" x14ac:dyDescent="0.25">
      <c r="L147" s="10"/>
    </row>
    <row r="148" spans="12:12" x14ac:dyDescent="0.25">
      <c r="L148" s="10"/>
    </row>
    <row r="149" spans="12:12" x14ac:dyDescent="0.25">
      <c r="L149" s="10"/>
    </row>
    <row r="150" spans="12:12" x14ac:dyDescent="0.25">
      <c r="L150" s="10"/>
    </row>
    <row r="151" spans="12:12" x14ac:dyDescent="0.25">
      <c r="L151" s="10"/>
    </row>
    <row r="152" spans="12:12" x14ac:dyDescent="0.25">
      <c r="L152" s="10"/>
    </row>
    <row r="153" spans="12:12" x14ac:dyDescent="0.25">
      <c r="L153" s="10"/>
    </row>
  </sheetData>
  <pageMargins left="0.7" right="0.7" top="0.75" bottom="0.75" header="0.3" footer="0.3"/>
  <pageSetup paperSize="9"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5">
    <tabColor theme="4" tint="-0.249977111117893"/>
  </sheetPr>
  <dimension ref="A1:O56"/>
  <sheetViews>
    <sheetView zoomScale="85" zoomScaleNormal="85" workbookViewId="0">
      <selection activeCell="A3" sqref="A3:E27"/>
    </sheetView>
  </sheetViews>
  <sheetFormatPr defaultColWidth="9.140625" defaultRowHeight="15" x14ac:dyDescent="0.25"/>
  <cols>
    <col min="1" max="1" width="27" style="10" customWidth="1"/>
    <col min="2" max="6" width="16.7109375" style="10" customWidth="1"/>
    <col min="7" max="10" width="13.5703125" style="10" customWidth="1"/>
    <col min="11" max="11" width="21.140625" style="10" bestFit="1" customWidth="1"/>
    <col min="12" max="12" width="16" style="23" bestFit="1" customWidth="1"/>
    <col min="13" max="13" width="21.140625" style="10" bestFit="1" customWidth="1"/>
    <col min="14" max="16384" width="9.140625" style="10"/>
  </cols>
  <sheetData>
    <row r="1" spans="1:15" ht="21" x14ac:dyDescent="0.25">
      <c r="A1" s="3" t="s">
        <v>23</v>
      </c>
      <c r="B1" s="3"/>
      <c r="C1" s="3"/>
      <c r="D1" s="15"/>
      <c r="M1"/>
      <c r="O1"/>
    </row>
    <row r="2" spans="1:15" x14ac:dyDescent="0.25">
      <c r="M2"/>
      <c r="O2"/>
    </row>
    <row r="3" spans="1:15" ht="30" x14ac:dyDescent="0.25">
      <c r="A3" s="61" t="s">
        <v>42</v>
      </c>
      <c r="B3" s="56" t="s">
        <v>6</v>
      </c>
      <c r="C3" s="56" t="s">
        <v>46</v>
      </c>
      <c r="D3" s="56" t="s">
        <v>44</v>
      </c>
      <c r="E3" s="56" t="s">
        <v>45</v>
      </c>
      <c r="G3" s="56" t="s">
        <v>6</v>
      </c>
      <c r="H3" s="56" t="s">
        <v>46</v>
      </c>
      <c r="I3" s="56" t="s">
        <v>44</v>
      </c>
      <c r="J3" s="56" t="s">
        <v>45</v>
      </c>
      <c r="M3"/>
      <c r="O3"/>
    </row>
    <row r="4" spans="1:15" x14ac:dyDescent="0.25">
      <c r="A4" s="60">
        <v>8</v>
      </c>
      <c r="B4" s="48">
        <v>41.642339168272649</v>
      </c>
      <c r="C4" s="48">
        <v>45.756857486293079</v>
      </c>
      <c r="D4" s="48">
        <v>74.721447010322649</v>
      </c>
      <c r="E4" s="48">
        <v>52.979996806286238</v>
      </c>
      <c r="G4" s="59">
        <f>2*(B4-B$14)/(B$14+B4)</f>
        <v>-0.14246058435333983</v>
      </c>
      <c r="H4" s="59">
        <f>2*(C4-C$14)/(C$14+C4)</f>
        <v>-9.0862181746182616E-2</v>
      </c>
      <c r="I4" s="59">
        <f t="shared" ref="I4:J4" si="0">2*(D4-D$14)/(D$14+D4)</f>
        <v>0</v>
      </c>
      <c r="J4" s="59">
        <f t="shared" si="0"/>
        <v>0</v>
      </c>
      <c r="K4" s="12" t="s">
        <v>6</v>
      </c>
      <c r="M4"/>
    </row>
    <row r="5" spans="1:15" ht="15.75" thickBot="1" x14ac:dyDescent="0.3">
      <c r="A5" s="60">
        <v>9</v>
      </c>
      <c r="B5" s="48">
        <v>42.281087459663851</v>
      </c>
      <c r="C5" s="48">
        <v>46.192401516828959</v>
      </c>
      <c r="D5" s="48">
        <v>74.721447010322649</v>
      </c>
      <c r="E5" s="48">
        <v>52.979996806286238</v>
      </c>
      <c r="G5" s="59">
        <f t="shared" ref="G5:G27" si="1">2*(B5-B$14)/(B$14+B5)</f>
        <v>-0.12730743378138457</v>
      </c>
      <c r="H5" s="59">
        <f t="shared" ref="H5:H27" si="2">2*(C5-C$14)/(C$14+C5)</f>
        <v>-8.1406126657782782E-2</v>
      </c>
      <c r="I5" s="59">
        <f t="shared" ref="I5:J27" si="3">2*(D5-D$14)/(D$14+D5)</f>
        <v>0</v>
      </c>
      <c r="J5" s="59">
        <f t="shared" si="3"/>
        <v>0</v>
      </c>
      <c r="K5" s="13" t="s">
        <v>19</v>
      </c>
      <c r="L5" s="33">
        <f>INDEX(LINEST(G4:G27,A4:A27^{1,2}),1,2)</f>
        <v>1.6452240994715574E-2</v>
      </c>
    </row>
    <row r="6" spans="1:15" ht="15.75" thickBot="1" x14ac:dyDescent="0.3">
      <c r="A6" s="60">
        <v>10</v>
      </c>
      <c r="B6" s="48">
        <v>42.919833151010266</v>
      </c>
      <c r="C6" s="48">
        <v>46.627945547364845</v>
      </c>
      <c r="D6" s="48">
        <v>74.721447010322649</v>
      </c>
      <c r="E6" s="48">
        <v>52.979996806286238</v>
      </c>
      <c r="G6" s="59">
        <f t="shared" si="1"/>
        <v>-0.11236718797119483</v>
      </c>
      <c r="H6" s="59">
        <f t="shared" si="2"/>
        <v>-7.2035217692733716E-2</v>
      </c>
      <c r="I6" s="59">
        <f t="shared" si="3"/>
        <v>0</v>
      </c>
      <c r="J6" s="59">
        <f t="shared" si="3"/>
        <v>0</v>
      </c>
      <c r="K6" s="14" t="s">
        <v>18</v>
      </c>
      <c r="L6" s="33">
        <f>INDEX(LINEST(G4:G24,A4:A24^{1,2}),1,3)</f>
        <v>-0.2688460761762187</v>
      </c>
    </row>
    <row r="7" spans="1:15" x14ac:dyDescent="0.25">
      <c r="A7" s="60">
        <v>11</v>
      </c>
      <c r="B7" s="48">
        <v>43.558576242311851</v>
      </c>
      <c r="C7" s="48">
        <v>47.063489577900725</v>
      </c>
      <c r="D7" s="48">
        <v>74.721447010322649</v>
      </c>
      <c r="E7" s="48">
        <v>52.979996806286238</v>
      </c>
      <c r="G7" s="59">
        <f t="shared" si="1"/>
        <v>-9.7635391194071747E-2</v>
      </c>
      <c r="H7" s="59">
        <f t="shared" si="2"/>
        <v>-6.2748309970605556E-2</v>
      </c>
      <c r="I7" s="59">
        <f t="shared" si="3"/>
        <v>0</v>
      </c>
      <c r="J7" s="59">
        <f t="shared" si="3"/>
        <v>0</v>
      </c>
    </row>
    <row r="8" spans="1:15" x14ac:dyDescent="0.25">
      <c r="A8" s="60">
        <v>12</v>
      </c>
      <c r="B8" s="48">
        <v>44.197316733568634</v>
      </c>
      <c r="C8" s="48">
        <v>47.499033608436577</v>
      </c>
      <c r="D8" s="48">
        <v>74.721447010322649</v>
      </c>
      <c r="E8" s="48">
        <v>52.979996806286238</v>
      </c>
      <c r="G8" s="59">
        <f t="shared" si="1"/>
        <v>-8.310771119422436E-2</v>
      </c>
      <c r="H8" s="59">
        <f t="shared" si="2"/>
        <v>-5.3544279044900979E-2</v>
      </c>
      <c r="I8" s="59">
        <f t="shared" si="3"/>
        <v>0</v>
      </c>
      <c r="J8" s="59">
        <f t="shared" si="3"/>
        <v>0</v>
      </c>
    </row>
    <row r="9" spans="1:15" x14ac:dyDescent="0.25">
      <c r="A9" s="60">
        <v>13</v>
      </c>
      <c r="B9" s="48">
        <v>44.836054624780594</v>
      </c>
      <c r="C9" s="48">
        <v>47.934577638972492</v>
      </c>
      <c r="D9" s="48">
        <v>74.721447010322649</v>
      </c>
      <c r="E9" s="48">
        <v>52.979996806286238</v>
      </c>
      <c r="G9" s="59">
        <f t="shared" si="1"/>
        <v>-6.8779934941243737E-2</v>
      </c>
      <c r="H9" s="59">
        <f t="shared" si="2"/>
        <v>-4.442202044919439E-2</v>
      </c>
      <c r="I9" s="59">
        <f t="shared" si="3"/>
        <v>0</v>
      </c>
      <c r="J9" s="59">
        <f t="shared" si="3"/>
        <v>0</v>
      </c>
      <c r="K9" s="12" t="s">
        <v>28</v>
      </c>
    </row>
    <row r="10" spans="1:15" ht="15.75" thickBot="1" x14ac:dyDescent="0.3">
      <c r="A10" s="60">
        <v>14</v>
      </c>
      <c r="B10" s="48">
        <v>45.474789915947781</v>
      </c>
      <c r="C10" s="48">
        <v>48.370121669508386</v>
      </c>
      <c r="D10" s="48">
        <v>74.721447010322649</v>
      </c>
      <c r="E10" s="48">
        <v>52.979996806286238</v>
      </c>
      <c r="G10" s="59">
        <f t="shared" si="1"/>
        <v>-5.4647964556713932E-2</v>
      </c>
      <c r="H10" s="59">
        <f t="shared" si="2"/>
        <v>-3.5380449255323083E-2</v>
      </c>
      <c r="I10" s="59">
        <f t="shared" si="3"/>
        <v>0</v>
      </c>
      <c r="J10" s="59">
        <f t="shared" si="3"/>
        <v>0</v>
      </c>
      <c r="K10" s="13" t="s">
        <v>19</v>
      </c>
      <c r="L10" s="33">
        <f>INDEX(LINEST(H4:H27,A4:A27^{1,2}),1,2)</f>
        <v>1.0040833508512583E-2</v>
      </c>
    </row>
    <row r="11" spans="1:15" ht="15.75" thickBot="1" x14ac:dyDescent="0.3">
      <c r="A11" s="60">
        <v>15</v>
      </c>
      <c r="B11" s="48">
        <v>46.113522607070124</v>
      </c>
      <c r="C11" s="48">
        <v>48.805665700044244</v>
      </c>
      <c r="D11" s="48">
        <v>74.721447010322649</v>
      </c>
      <c r="E11" s="48">
        <v>52.979996806286238</v>
      </c>
      <c r="G11" s="59">
        <f t="shared" si="1"/>
        <v>-4.0707813406699239E-2</v>
      </c>
      <c r="H11" s="59">
        <f t="shared" si="2"/>
        <v>-2.641849964323904E-2</v>
      </c>
      <c r="I11" s="59">
        <f t="shared" si="3"/>
        <v>0</v>
      </c>
      <c r="J11" s="59">
        <f t="shared" si="3"/>
        <v>0</v>
      </c>
      <c r="K11" s="14" t="s">
        <v>18</v>
      </c>
      <c r="L11" s="33">
        <f>INDEX(LINEST(H4:H27,A4:A27^{1,2}),1,3)</f>
        <v>-0.16872544216890883</v>
      </c>
    </row>
    <row r="12" spans="1:15" x14ac:dyDescent="0.25">
      <c r="A12" s="60">
        <v>16</v>
      </c>
      <c r="B12" s="48">
        <v>46.752252698147714</v>
      </c>
      <c r="C12" s="48">
        <v>49.241209730580131</v>
      </c>
      <c r="D12" s="48">
        <v>74.721447010322649</v>
      </c>
      <c r="E12" s="48">
        <v>52.979996806286238</v>
      </c>
      <c r="G12" s="59">
        <f t="shared" si="1"/>
        <v>-2.6955602352263582E-2</v>
      </c>
      <c r="H12" s="59">
        <f t="shared" si="2"/>
        <v>-1.7535124482179875E-2</v>
      </c>
      <c r="I12" s="59">
        <f t="shared" si="3"/>
        <v>0</v>
      </c>
      <c r="J12" s="59">
        <f t="shared" si="3"/>
        <v>0</v>
      </c>
    </row>
    <row r="13" spans="1:15" x14ac:dyDescent="0.25">
      <c r="A13" s="60">
        <v>17</v>
      </c>
      <c r="B13" s="48">
        <v>47.390980189180446</v>
      </c>
      <c r="C13" s="48">
        <v>49.676753761116018</v>
      </c>
      <c r="D13" s="48">
        <v>74.721447010322649</v>
      </c>
      <c r="E13" s="48">
        <v>52.979996806286238</v>
      </c>
      <c r="G13" s="59">
        <f t="shared" si="1"/>
        <v>-1.3387556150639019E-2</v>
      </c>
      <c r="H13" s="59">
        <f t="shared" si="2"/>
        <v>-8.7292949228115757E-3</v>
      </c>
      <c r="I13" s="59">
        <f t="shared" si="3"/>
        <v>0</v>
      </c>
      <c r="J13" s="59">
        <f t="shared" si="3"/>
        <v>0</v>
      </c>
    </row>
    <row r="14" spans="1:15" x14ac:dyDescent="0.25">
      <c r="A14" s="60">
        <v>18</v>
      </c>
      <c r="B14" s="48">
        <v>48.029705080168377</v>
      </c>
      <c r="C14" s="48">
        <v>50.112297791651898</v>
      </c>
      <c r="D14" s="48">
        <v>74.721447010322649</v>
      </c>
      <c r="E14" s="48">
        <v>52.979996806286238</v>
      </c>
      <c r="G14" s="59">
        <f t="shared" si="1"/>
        <v>0</v>
      </c>
      <c r="H14" s="59">
        <f t="shared" si="2"/>
        <v>0</v>
      </c>
      <c r="I14" s="59">
        <f t="shared" si="3"/>
        <v>0</v>
      </c>
      <c r="J14" s="59">
        <f t="shared" si="3"/>
        <v>0</v>
      </c>
      <c r="L14" s="10"/>
    </row>
    <row r="15" spans="1:15" x14ac:dyDescent="0.25">
      <c r="A15" s="60">
        <v>19</v>
      </c>
      <c r="B15" s="48">
        <v>48.668427371111541</v>
      </c>
      <c r="C15" s="48">
        <v>50.547841822187799</v>
      </c>
      <c r="D15" s="48">
        <v>74.721447010322649</v>
      </c>
      <c r="E15" s="48">
        <v>52.979996806286238</v>
      </c>
      <c r="G15" s="59">
        <f t="shared" si="1"/>
        <v>1.3210643778771552E-2</v>
      </c>
      <c r="H15" s="59">
        <f t="shared" si="2"/>
        <v>8.6537537541030475E-3</v>
      </c>
      <c r="I15" s="59">
        <f t="shared" si="3"/>
        <v>0</v>
      </c>
      <c r="J15" s="59">
        <f t="shared" si="3"/>
        <v>0</v>
      </c>
      <c r="L15" s="10"/>
    </row>
    <row r="16" spans="1:15" x14ac:dyDescent="0.25">
      <c r="A16" s="60">
        <v>20</v>
      </c>
      <c r="B16" s="48">
        <v>49.30714706200984</v>
      </c>
      <c r="C16" s="48">
        <v>50.983385852723664</v>
      </c>
      <c r="D16" s="48">
        <v>74.721447010322649</v>
      </c>
      <c r="E16" s="48">
        <v>52.979996806286238</v>
      </c>
      <c r="G16" s="59">
        <f t="shared" si="1"/>
        <v>2.6247858929637994E-2</v>
      </c>
      <c r="H16" s="59">
        <f t="shared" si="2"/>
        <v>1.7232942686969593E-2</v>
      </c>
      <c r="I16" s="59">
        <f t="shared" si="3"/>
        <v>0</v>
      </c>
      <c r="J16" s="59">
        <f t="shared" si="3"/>
        <v>0</v>
      </c>
      <c r="L16" s="10"/>
    </row>
    <row r="17" spans="1:12" x14ac:dyDescent="0.25">
      <c r="A17" s="60">
        <v>21</v>
      </c>
      <c r="B17" s="48">
        <v>49.945864152863386</v>
      </c>
      <c r="C17" s="48">
        <v>51.418929883259544</v>
      </c>
      <c r="D17" s="48">
        <v>74.721447010322649</v>
      </c>
      <c r="E17" s="48">
        <v>52.979996806286238</v>
      </c>
      <c r="G17" s="59">
        <f t="shared" si="1"/>
        <v>3.9115038324247675E-2</v>
      </c>
      <c r="H17" s="59">
        <f t="shared" si="2"/>
        <v>2.5738526392910303E-2</v>
      </c>
      <c r="I17" s="59">
        <f t="shared" si="3"/>
        <v>0</v>
      </c>
      <c r="J17" s="59">
        <f t="shared" si="3"/>
        <v>0</v>
      </c>
      <c r="L17" s="10"/>
    </row>
    <row r="18" spans="1:12" x14ac:dyDescent="0.25">
      <c r="A18" s="60">
        <v>22</v>
      </c>
      <c r="B18" s="48">
        <v>50.584578643672117</v>
      </c>
      <c r="C18" s="48">
        <v>51.854473913795424</v>
      </c>
      <c r="D18" s="48">
        <v>74.721447010322649</v>
      </c>
      <c r="E18" s="48">
        <v>52.979996806286238</v>
      </c>
      <c r="G18" s="59">
        <f t="shared" si="1"/>
        <v>5.1815486905698371E-2</v>
      </c>
      <c r="H18" s="59">
        <f t="shared" si="2"/>
        <v>3.4171448070871011E-2</v>
      </c>
      <c r="I18" s="59">
        <f t="shared" si="3"/>
        <v>0</v>
      </c>
      <c r="J18" s="59">
        <f t="shared" si="3"/>
        <v>0</v>
      </c>
      <c r="L18" s="10"/>
    </row>
    <row r="19" spans="1:12" x14ac:dyDescent="0.25">
      <c r="A19" s="60">
        <v>23</v>
      </c>
      <c r="B19" s="48">
        <v>51.223290534436018</v>
      </c>
      <c r="C19" s="48">
        <v>52.290017944331304</v>
      </c>
      <c r="D19" s="48">
        <v>74.721447010322649</v>
      </c>
      <c r="E19" s="48">
        <v>52.979996806286238</v>
      </c>
      <c r="G19" s="59">
        <f t="shared" si="1"/>
        <v>6.4352424518615267E-2</v>
      </c>
      <c r="H19" s="59">
        <f t="shared" si="2"/>
        <v>4.2532634873103284E-2</v>
      </c>
      <c r="I19" s="59">
        <f t="shared" si="3"/>
        <v>0</v>
      </c>
      <c r="J19" s="59">
        <f t="shared" si="3"/>
        <v>0</v>
      </c>
      <c r="K19" s="30"/>
    </row>
    <row r="20" spans="1:12" x14ac:dyDescent="0.25">
      <c r="A20" s="60">
        <v>24</v>
      </c>
      <c r="B20" s="48">
        <v>51.861999825155102</v>
      </c>
      <c r="C20" s="48">
        <v>52.725561974867169</v>
      </c>
      <c r="D20" s="48">
        <v>74.721447010322649</v>
      </c>
      <c r="E20" s="48">
        <v>52.979996806286238</v>
      </c>
      <c r="G20" s="59">
        <f t="shared" si="1"/>
        <v>7.6728988630616377E-2</v>
      </c>
      <c r="H20" s="59">
        <f t="shared" si="2"/>
        <v>5.0822998244972654E-2</v>
      </c>
      <c r="I20" s="59">
        <f t="shared" si="3"/>
        <v>0</v>
      </c>
      <c r="J20" s="59">
        <f t="shared" si="3"/>
        <v>0</v>
      </c>
      <c r="K20" s="30"/>
    </row>
    <row r="21" spans="1:12" x14ac:dyDescent="0.25">
      <c r="A21" s="60">
        <v>25</v>
      </c>
      <c r="B21" s="48">
        <v>52.500706515829414</v>
      </c>
      <c r="C21" s="48">
        <v>53.161106005403056</v>
      </c>
      <c r="D21" s="48">
        <v>74.721447010322649</v>
      </c>
      <c r="E21" s="48">
        <v>52.979996806286238</v>
      </c>
      <c r="G21" s="59">
        <f t="shared" si="1"/>
        <v>8.8948236950002341E-2</v>
      </c>
      <c r="H21" s="59">
        <f t="shared" si="2"/>
        <v>5.9043434256170049E-2</v>
      </c>
      <c r="I21" s="59">
        <f t="shared" si="3"/>
        <v>0</v>
      </c>
      <c r="J21" s="59">
        <f t="shared" si="3"/>
        <v>0</v>
      </c>
      <c r="K21" s="30"/>
    </row>
    <row r="22" spans="1:12" x14ac:dyDescent="0.25">
      <c r="A22" s="60">
        <v>26</v>
      </c>
      <c r="B22" s="48">
        <v>53.139410606458917</v>
      </c>
      <c r="C22" s="48">
        <v>53.59665003593895</v>
      </c>
      <c r="D22" s="48">
        <v>74.721447010322649</v>
      </c>
      <c r="E22" s="48">
        <v>52.979996806286238</v>
      </c>
      <c r="G22" s="59">
        <f t="shared" si="1"/>
        <v>0.10101314994425616</v>
      </c>
      <c r="H22" s="59">
        <f t="shared" si="2"/>
        <v>6.7194823923574148E-2</v>
      </c>
      <c r="I22" s="59">
        <f t="shared" si="3"/>
        <v>0</v>
      </c>
      <c r="J22" s="59">
        <f t="shared" si="3"/>
        <v>0</v>
      </c>
      <c r="K22" s="30"/>
    </row>
    <row r="23" spans="1:12" x14ac:dyDescent="0.25">
      <c r="A23" s="60">
        <v>27</v>
      </c>
      <c r="B23" s="48">
        <v>53.778112097043604</v>
      </c>
      <c r="C23" s="48">
        <v>54.032194066474815</v>
      </c>
      <c r="D23" s="48">
        <v>74.721447010322649</v>
      </c>
      <c r="E23" s="48">
        <v>52.979996806286238</v>
      </c>
      <c r="G23" s="59">
        <f t="shared" si="1"/>
        <v>0.11292663326371591</v>
      </c>
      <c r="H23" s="59">
        <f t="shared" si="2"/>
        <v>7.5278033526014781E-2</v>
      </c>
      <c r="I23" s="59">
        <f t="shared" si="3"/>
        <v>0</v>
      </c>
      <c r="J23" s="59">
        <f t="shared" si="3"/>
        <v>0</v>
      </c>
      <c r="K23" s="30"/>
    </row>
    <row r="24" spans="1:12" x14ac:dyDescent="0.25">
      <c r="A24" s="60">
        <v>28</v>
      </c>
      <c r="B24" s="48">
        <v>54.416810987583482</v>
      </c>
      <c r="C24" s="48">
        <v>54.467738097010709</v>
      </c>
      <c r="D24" s="48">
        <v>74.721447010322649</v>
      </c>
      <c r="E24" s="48">
        <v>52.979996806286238</v>
      </c>
      <c r="G24" s="59">
        <f t="shared" si="1"/>
        <v>0.1246915200745541</v>
      </c>
      <c r="H24" s="59">
        <f t="shared" si="2"/>
        <v>8.329391491117244E-2</v>
      </c>
      <c r="I24" s="59">
        <f t="shared" si="3"/>
        <v>0</v>
      </c>
      <c r="J24" s="59">
        <f t="shared" si="3"/>
        <v>0</v>
      </c>
      <c r="K24" s="30"/>
    </row>
    <row r="25" spans="1:12" x14ac:dyDescent="0.25">
      <c r="A25" s="60">
        <v>29</v>
      </c>
      <c r="B25" s="48">
        <v>55.055507278078558</v>
      </c>
      <c r="C25" s="48">
        <v>54.903282127546603</v>
      </c>
      <c r="D25" s="48">
        <v>74.721447010322649</v>
      </c>
      <c r="E25" s="48">
        <v>52.979996806286238</v>
      </c>
      <c r="G25" s="59">
        <f t="shared" si="1"/>
        <v>0.13631057330500052</v>
      </c>
      <c r="H25" s="59">
        <f t="shared" si="2"/>
        <v>9.1243305794835458E-2</v>
      </c>
      <c r="I25" s="59">
        <f t="shared" si="3"/>
        <v>0</v>
      </c>
      <c r="J25" s="59">
        <f t="shared" si="3"/>
        <v>0</v>
      </c>
      <c r="K25" s="30"/>
    </row>
    <row r="26" spans="1:12" x14ac:dyDescent="0.25">
      <c r="A26" s="60">
        <v>30</v>
      </c>
      <c r="B26" s="48">
        <v>55.694200968528826</v>
      </c>
      <c r="C26" s="48">
        <v>55.338826158082497</v>
      </c>
      <c r="D26" s="48">
        <v>74.721447010322649</v>
      </c>
      <c r="E26" s="48">
        <v>52.979996806286238</v>
      </c>
      <c r="G26" s="59">
        <f t="shared" si="1"/>
        <v>0.14778648780854925</v>
      </c>
      <c r="H26" s="59">
        <f t="shared" si="2"/>
        <v>9.9127030052746326E-2</v>
      </c>
      <c r="I26" s="59">
        <f t="shared" si="3"/>
        <v>0</v>
      </c>
      <c r="J26" s="59">
        <f t="shared" si="3"/>
        <v>0</v>
      </c>
    </row>
    <row r="27" spans="1:12" x14ac:dyDescent="0.25">
      <c r="A27" s="60">
        <v>31</v>
      </c>
      <c r="B27" s="48">
        <v>56.332892058934284</v>
      </c>
      <c r="C27" s="48">
        <v>55.774370188618356</v>
      </c>
      <c r="D27" s="48">
        <v>74.721447010322649</v>
      </c>
      <c r="E27" s="48">
        <v>52.979996806286238</v>
      </c>
      <c r="G27" s="59">
        <f t="shared" si="1"/>
        <v>0.15912189244770841</v>
      </c>
      <c r="H27" s="59">
        <f t="shared" si="2"/>
        <v>0.10694589800524208</v>
      </c>
      <c r="I27" s="59">
        <f t="shared" si="3"/>
        <v>0</v>
      </c>
      <c r="J27" s="59">
        <f t="shared" si="3"/>
        <v>0</v>
      </c>
    </row>
    <row r="30" spans="1:12" x14ac:dyDescent="0.25">
      <c r="A30" s="56" t="s">
        <v>47</v>
      </c>
      <c r="B30" s="56" t="s">
        <v>6</v>
      </c>
      <c r="C30" s="56" t="s">
        <v>46</v>
      </c>
      <c r="D30" s="56" t="s">
        <v>44</v>
      </c>
      <c r="E30" s="56" t="s">
        <v>45</v>
      </c>
    </row>
    <row r="31" spans="1:12" x14ac:dyDescent="0.25">
      <c r="A31" s="60">
        <f>(100/A4)^2</f>
        <v>156.25</v>
      </c>
      <c r="B31" s="59">
        <f>G4</f>
        <v>-0.14246058435333983</v>
      </c>
      <c r="C31" s="59">
        <f t="shared" ref="C31:E31" si="4">H4</f>
        <v>-9.0862181746182616E-2</v>
      </c>
      <c r="D31" s="59">
        <f t="shared" si="4"/>
        <v>0</v>
      </c>
      <c r="E31" s="59">
        <f t="shared" si="4"/>
        <v>0</v>
      </c>
    </row>
    <row r="32" spans="1:12" x14ac:dyDescent="0.25">
      <c r="A32" s="60">
        <f t="shared" ref="A32:A54" si="5">(100/A5)^2</f>
        <v>123.45679012345678</v>
      </c>
      <c r="B32" s="59">
        <f t="shared" ref="B32:B54" si="6">G5</f>
        <v>-0.12730743378138457</v>
      </c>
      <c r="C32" s="59">
        <f t="shared" ref="C32:C54" si="7">H5</f>
        <v>-8.1406126657782782E-2</v>
      </c>
      <c r="D32" s="59">
        <f t="shared" ref="D32:D54" si="8">I5</f>
        <v>0</v>
      </c>
      <c r="E32" s="59">
        <f t="shared" ref="E32:E54" si="9">J5</f>
        <v>0</v>
      </c>
    </row>
    <row r="33" spans="1:5" x14ac:dyDescent="0.25">
      <c r="A33" s="60">
        <f t="shared" si="5"/>
        <v>100</v>
      </c>
      <c r="B33" s="59">
        <f t="shared" si="6"/>
        <v>-0.11236718797119483</v>
      </c>
      <c r="C33" s="59">
        <f t="shared" si="7"/>
        <v>-7.2035217692733716E-2</v>
      </c>
      <c r="D33" s="59">
        <f t="shared" si="8"/>
        <v>0</v>
      </c>
      <c r="E33" s="59">
        <f t="shared" si="9"/>
        <v>0</v>
      </c>
    </row>
    <row r="34" spans="1:5" x14ac:dyDescent="0.25">
      <c r="A34" s="60">
        <f t="shared" si="5"/>
        <v>82.644628099173573</v>
      </c>
      <c r="B34" s="59">
        <f t="shared" si="6"/>
        <v>-9.7635391194071747E-2</v>
      </c>
      <c r="C34" s="59">
        <f t="shared" si="7"/>
        <v>-6.2748309970605556E-2</v>
      </c>
      <c r="D34" s="59">
        <f t="shared" si="8"/>
        <v>0</v>
      </c>
      <c r="E34" s="59">
        <f t="shared" si="9"/>
        <v>0</v>
      </c>
    </row>
    <row r="35" spans="1:5" x14ac:dyDescent="0.25">
      <c r="A35" s="60">
        <f t="shared" si="5"/>
        <v>69.444444444444457</v>
      </c>
      <c r="B35" s="59">
        <f t="shared" si="6"/>
        <v>-8.310771119422436E-2</v>
      </c>
      <c r="C35" s="59">
        <f t="shared" si="7"/>
        <v>-5.3544279044900979E-2</v>
      </c>
      <c r="D35" s="59">
        <f t="shared" si="8"/>
        <v>0</v>
      </c>
      <c r="E35" s="59">
        <f t="shared" si="9"/>
        <v>0</v>
      </c>
    </row>
    <row r="36" spans="1:5" x14ac:dyDescent="0.25">
      <c r="A36" s="60">
        <f t="shared" si="5"/>
        <v>59.171597633136095</v>
      </c>
      <c r="B36" s="59">
        <f t="shared" si="6"/>
        <v>-6.8779934941243737E-2</v>
      </c>
      <c r="C36" s="59">
        <f t="shared" si="7"/>
        <v>-4.442202044919439E-2</v>
      </c>
      <c r="D36" s="59">
        <f t="shared" si="8"/>
        <v>0</v>
      </c>
      <c r="E36" s="59">
        <f t="shared" si="9"/>
        <v>0</v>
      </c>
    </row>
    <row r="37" spans="1:5" x14ac:dyDescent="0.25">
      <c r="A37" s="60">
        <f t="shared" si="5"/>
        <v>51.020408163265309</v>
      </c>
      <c r="B37" s="59">
        <f t="shared" si="6"/>
        <v>-5.4647964556713932E-2</v>
      </c>
      <c r="C37" s="59">
        <f t="shared" si="7"/>
        <v>-3.5380449255323083E-2</v>
      </c>
      <c r="D37" s="59">
        <f t="shared" si="8"/>
        <v>0</v>
      </c>
      <c r="E37" s="59">
        <f t="shared" si="9"/>
        <v>0</v>
      </c>
    </row>
    <row r="38" spans="1:5" x14ac:dyDescent="0.25">
      <c r="A38" s="60">
        <f t="shared" si="5"/>
        <v>44.44444444444445</v>
      </c>
      <c r="B38" s="59">
        <f t="shared" si="6"/>
        <v>-4.0707813406699239E-2</v>
      </c>
      <c r="C38" s="59">
        <f t="shared" si="7"/>
        <v>-2.641849964323904E-2</v>
      </c>
      <c r="D38" s="59">
        <f t="shared" si="8"/>
        <v>0</v>
      </c>
      <c r="E38" s="59">
        <f t="shared" si="9"/>
        <v>0</v>
      </c>
    </row>
    <row r="39" spans="1:5" x14ac:dyDescent="0.25">
      <c r="A39" s="60">
        <f t="shared" si="5"/>
        <v>39.0625</v>
      </c>
      <c r="B39" s="59">
        <f t="shared" si="6"/>
        <v>-2.6955602352263582E-2</v>
      </c>
      <c r="C39" s="59">
        <f t="shared" si="7"/>
        <v>-1.7535124482179875E-2</v>
      </c>
      <c r="D39" s="59">
        <f t="shared" si="8"/>
        <v>0</v>
      </c>
      <c r="E39" s="59">
        <f t="shared" si="9"/>
        <v>0</v>
      </c>
    </row>
    <row r="40" spans="1:5" x14ac:dyDescent="0.25">
      <c r="A40" s="60">
        <f t="shared" si="5"/>
        <v>34.602076124567482</v>
      </c>
      <c r="B40" s="59">
        <f t="shared" si="6"/>
        <v>-1.3387556150639019E-2</v>
      </c>
      <c r="C40" s="59">
        <f t="shared" si="7"/>
        <v>-8.7292949228115757E-3</v>
      </c>
      <c r="D40" s="59">
        <f t="shared" si="8"/>
        <v>0</v>
      </c>
      <c r="E40" s="59">
        <f t="shared" si="9"/>
        <v>0</v>
      </c>
    </row>
    <row r="41" spans="1:5" x14ac:dyDescent="0.25">
      <c r="A41" s="60">
        <f t="shared" si="5"/>
        <v>30.864197530864196</v>
      </c>
      <c r="B41" s="59">
        <f t="shared" si="6"/>
        <v>0</v>
      </c>
      <c r="C41" s="59">
        <f t="shared" si="7"/>
        <v>0</v>
      </c>
      <c r="D41" s="59">
        <f t="shared" si="8"/>
        <v>0</v>
      </c>
      <c r="E41" s="59">
        <f t="shared" si="9"/>
        <v>0</v>
      </c>
    </row>
    <row r="42" spans="1:5" x14ac:dyDescent="0.25">
      <c r="A42" s="60">
        <f t="shared" si="5"/>
        <v>27.700831024930753</v>
      </c>
      <c r="B42" s="59">
        <f t="shared" si="6"/>
        <v>1.3210643778771552E-2</v>
      </c>
      <c r="C42" s="59">
        <f t="shared" si="7"/>
        <v>8.6537537541030475E-3</v>
      </c>
      <c r="D42" s="59">
        <f t="shared" si="8"/>
        <v>0</v>
      </c>
      <c r="E42" s="59">
        <f t="shared" si="9"/>
        <v>0</v>
      </c>
    </row>
    <row r="43" spans="1:5" x14ac:dyDescent="0.25">
      <c r="A43" s="60">
        <f t="shared" si="5"/>
        <v>25</v>
      </c>
      <c r="B43" s="59">
        <f t="shared" si="6"/>
        <v>2.6247858929637994E-2</v>
      </c>
      <c r="C43" s="59">
        <f t="shared" si="7"/>
        <v>1.7232942686969593E-2</v>
      </c>
      <c r="D43" s="59">
        <f t="shared" si="8"/>
        <v>0</v>
      </c>
      <c r="E43" s="59">
        <f t="shared" si="9"/>
        <v>0</v>
      </c>
    </row>
    <row r="44" spans="1:5" x14ac:dyDescent="0.25">
      <c r="A44" s="60">
        <f t="shared" si="5"/>
        <v>22.675736961451246</v>
      </c>
      <c r="B44" s="59">
        <f t="shared" si="6"/>
        <v>3.9115038324247675E-2</v>
      </c>
      <c r="C44" s="59">
        <f t="shared" si="7"/>
        <v>2.5738526392910303E-2</v>
      </c>
      <c r="D44" s="59">
        <f t="shared" si="8"/>
        <v>0</v>
      </c>
      <c r="E44" s="59">
        <f t="shared" si="9"/>
        <v>0</v>
      </c>
    </row>
    <row r="45" spans="1:5" x14ac:dyDescent="0.25">
      <c r="A45" s="60">
        <f t="shared" si="5"/>
        <v>20.661157024793393</v>
      </c>
      <c r="B45" s="59">
        <f t="shared" si="6"/>
        <v>5.1815486905698371E-2</v>
      </c>
      <c r="C45" s="59">
        <f t="shared" si="7"/>
        <v>3.4171448070871011E-2</v>
      </c>
      <c r="D45" s="59">
        <f t="shared" si="8"/>
        <v>0</v>
      </c>
      <c r="E45" s="59">
        <f t="shared" si="9"/>
        <v>0</v>
      </c>
    </row>
    <row r="46" spans="1:5" x14ac:dyDescent="0.25">
      <c r="A46" s="60">
        <f t="shared" si="5"/>
        <v>18.903591682419659</v>
      </c>
      <c r="B46" s="59">
        <f t="shared" si="6"/>
        <v>6.4352424518615267E-2</v>
      </c>
      <c r="C46" s="59">
        <f t="shared" si="7"/>
        <v>4.2532634873103284E-2</v>
      </c>
      <c r="D46" s="59">
        <f t="shared" si="8"/>
        <v>0</v>
      </c>
      <c r="E46" s="59">
        <f t="shared" si="9"/>
        <v>0</v>
      </c>
    </row>
    <row r="47" spans="1:5" x14ac:dyDescent="0.25">
      <c r="A47" s="60">
        <f t="shared" si="5"/>
        <v>17.361111111111114</v>
      </c>
      <c r="B47" s="59">
        <f t="shared" si="6"/>
        <v>7.6728988630616377E-2</v>
      </c>
      <c r="C47" s="59">
        <f t="shared" si="7"/>
        <v>5.0822998244972654E-2</v>
      </c>
      <c r="D47" s="59">
        <f t="shared" si="8"/>
        <v>0</v>
      </c>
      <c r="E47" s="59">
        <f t="shared" si="9"/>
        <v>0</v>
      </c>
    </row>
    <row r="48" spans="1:5" x14ac:dyDescent="0.25">
      <c r="A48" s="60">
        <f t="shared" si="5"/>
        <v>16</v>
      </c>
      <c r="B48" s="59">
        <f t="shared" si="6"/>
        <v>8.8948236950002341E-2</v>
      </c>
      <c r="C48" s="59">
        <f t="shared" si="7"/>
        <v>5.9043434256170049E-2</v>
      </c>
      <c r="D48" s="59">
        <f t="shared" si="8"/>
        <v>0</v>
      </c>
      <c r="E48" s="59">
        <f t="shared" si="9"/>
        <v>0</v>
      </c>
    </row>
    <row r="49" spans="1:5" x14ac:dyDescent="0.25">
      <c r="A49" s="60">
        <f t="shared" si="5"/>
        <v>14.792899408284024</v>
      </c>
      <c r="B49" s="59">
        <f t="shared" si="6"/>
        <v>0.10101314994425616</v>
      </c>
      <c r="C49" s="59">
        <f t="shared" si="7"/>
        <v>6.7194823923574148E-2</v>
      </c>
      <c r="D49" s="59">
        <f t="shared" si="8"/>
        <v>0</v>
      </c>
      <c r="E49" s="59">
        <f t="shared" si="9"/>
        <v>0</v>
      </c>
    </row>
    <row r="50" spans="1:5" x14ac:dyDescent="0.25">
      <c r="A50" s="60">
        <f t="shared" si="5"/>
        <v>13.717421124828533</v>
      </c>
      <c r="B50" s="59">
        <f t="shared" si="6"/>
        <v>0.11292663326371591</v>
      </c>
      <c r="C50" s="59">
        <f t="shared" si="7"/>
        <v>7.5278033526014781E-2</v>
      </c>
      <c r="D50" s="59">
        <f t="shared" si="8"/>
        <v>0</v>
      </c>
      <c r="E50" s="59">
        <f t="shared" si="9"/>
        <v>0</v>
      </c>
    </row>
    <row r="51" spans="1:5" x14ac:dyDescent="0.25">
      <c r="A51" s="60">
        <f t="shared" si="5"/>
        <v>12.755102040816327</v>
      </c>
      <c r="B51" s="59">
        <f t="shared" si="6"/>
        <v>0.1246915200745541</v>
      </c>
      <c r="C51" s="59">
        <f t="shared" si="7"/>
        <v>8.329391491117244E-2</v>
      </c>
      <c r="D51" s="59">
        <f t="shared" si="8"/>
        <v>0</v>
      </c>
      <c r="E51" s="59">
        <f t="shared" si="9"/>
        <v>0</v>
      </c>
    </row>
    <row r="52" spans="1:5" x14ac:dyDescent="0.25">
      <c r="A52" s="60">
        <f t="shared" si="5"/>
        <v>11.890606420927465</v>
      </c>
      <c r="B52" s="59">
        <f t="shared" si="6"/>
        <v>0.13631057330500052</v>
      </c>
      <c r="C52" s="59">
        <f t="shared" si="7"/>
        <v>9.1243305794835458E-2</v>
      </c>
      <c r="D52" s="59">
        <f t="shared" si="8"/>
        <v>0</v>
      </c>
      <c r="E52" s="59">
        <f t="shared" si="9"/>
        <v>0</v>
      </c>
    </row>
    <row r="53" spans="1:5" x14ac:dyDescent="0.25">
      <c r="A53" s="60">
        <f t="shared" si="5"/>
        <v>11.111111111111112</v>
      </c>
      <c r="B53" s="59">
        <f t="shared" si="6"/>
        <v>0.14778648780854925</v>
      </c>
      <c r="C53" s="59">
        <f t="shared" si="7"/>
        <v>9.9127030052746326E-2</v>
      </c>
      <c r="D53" s="59">
        <f t="shared" si="8"/>
        <v>0</v>
      </c>
      <c r="E53" s="59">
        <f t="shared" si="9"/>
        <v>0</v>
      </c>
    </row>
    <row r="54" spans="1:5" x14ac:dyDescent="0.25">
      <c r="A54" s="60">
        <f t="shared" si="5"/>
        <v>10.405827263267428</v>
      </c>
      <c r="B54" s="59">
        <f t="shared" si="6"/>
        <v>0.15912189244770841</v>
      </c>
      <c r="C54" s="59">
        <f t="shared" si="7"/>
        <v>0.10694589800524208</v>
      </c>
      <c r="D54" s="59">
        <f t="shared" si="8"/>
        <v>0</v>
      </c>
      <c r="E54" s="59">
        <f t="shared" si="9"/>
        <v>0</v>
      </c>
    </row>
    <row r="55" spans="1:5" x14ac:dyDescent="0.25">
      <c r="A55" s="46"/>
    </row>
    <row r="56" spans="1:5" x14ac:dyDescent="0.25">
      <c r="A56" s="46"/>
    </row>
  </sheetData>
  <pageMargins left="0.7" right="0.7" top="0.75" bottom="0.75" header="0.3" footer="0.3"/>
  <pageSetup paperSize="9"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3">
    <tabColor theme="4" tint="-0.249977111117893"/>
  </sheetPr>
  <dimension ref="A1:O24"/>
  <sheetViews>
    <sheetView zoomScale="85" zoomScaleNormal="85" workbookViewId="0">
      <selection activeCell="A3" sqref="A3:E24"/>
    </sheetView>
  </sheetViews>
  <sheetFormatPr defaultColWidth="9.140625" defaultRowHeight="15" x14ac:dyDescent="0.25"/>
  <cols>
    <col min="1" max="1" width="24.85546875" style="10" customWidth="1"/>
    <col min="2" max="7" width="12.5703125" style="10" customWidth="1"/>
    <col min="8" max="8" width="13.42578125" style="10" bestFit="1" customWidth="1"/>
    <col min="9" max="9" width="13.42578125" style="10" customWidth="1"/>
    <col min="10" max="10" width="12.5703125" style="10" customWidth="1"/>
    <col min="11" max="11" width="13.42578125" style="10" bestFit="1" customWidth="1"/>
    <col min="12" max="12" width="12.5703125" style="24" customWidth="1"/>
    <col min="13" max="13" width="9.140625" style="10"/>
    <col min="14" max="14" width="12.5703125" style="10" customWidth="1"/>
    <col min="15" max="16384" width="9.140625" style="10"/>
  </cols>
  <sheetData>
    <row r="1" spans="1:15" ht="21" x14ac:dyDescent="0.25">
      <c r="A1" s="3" t="s">
        <v>23</v>
      </c>
      <c r="B1" s="3"/>
      <c r="C1" s="3"/>
      <c r="D1" s="3"/>
      <c r="E1" s="3"/>
      <c r="M1"/>
      <c r="O1"/>
    </row>
    <row r="2" spans="1:15" ht="15.75" thickBot="1" x14ac:dyDescent="0.3">
      <c r="M2"/>
      <c r="O2"/>
    </row>
    <row r="3" spans="1:15" ht="15.75" thickBot="1" x14ac:dyDescent="0.3">
      <c r="A3" s="56" t="s">
        <v>48</v>
      </c>
      <c r="B3" s="56" t="s">
        <v>6</v>
      </c>
      <c r="C3" s="56" t="s">
        <v>46</v>
      </c>
      <c r="D3" s="56" t="s">
        <v>44</v>
      </c>
      <c r="E3" s="56" t="s">
        <v>45</v>
      </c>
      <c r="F3" s="6" t="s">
        <v>16</v>
      </c>
      <c r="G3" s="56" t="s">
        <v>6</v>
      </c>
      <c r="H3" s="56" t="s">
        <v>46</v>
      </c>
      <c r="I3" s="56" t="s">
        <v>44</v>
      </c>
      <c r="J3" s="56" t="s">
        <v>45</v>
      </c>
      <c r="M3"/>
      <c r="N3" s="8" t="s">
        <v>29</v>
      </c>
      <c r="O3"/>
    </row>
    <row r="4" spans="1:15" x14ac:dyDescent="0.25">
      <c r="A4" s="60">
        <v>0</v>
      </c>
      <c r="B4" s="48">
        <v>48.029705080168377</v>
      </c>
      <c r="C4" s="48">
        <v>50.112297791651898</v>
      </c>
      <c r="D4" s="48">
        <v>74.721447010322649</v>
      </c>
      <c r="E4" s="48">
        <v>52.979996806286238</v>
      </c>
      <c r="G4" s="59">
        <f>2*(B4-B$4)/(B$4+B4)</f>
        <v>0</v>
      </c>
      <c r="H4" s="59">
        <f>2*(C4-C$4)/(C$4+C4)</f>
        <v>0</v>
      </c>
      <c r="I4" s="59">
        <f>2*(D4-D$4)/(D$4+D4)</f>
        <v>0</v>
      </c>
      <c r="J4" s="59">
        <f t="shared" ref="J4" si="0">2*(E4-E$4)/(E$4+E4)</f>
        <v>0</v>
      </c>
      <c r="K4" s="12" t="s">
        <v>6</v>
      </c>
      <c r="M4"/>
      <c r="N4" s="31">
        <f>A4^0.5</f>
        <v>0</v>
      </c>
    </row>
    <row r="5" spans="1:15" x14ac:dyDescent="0.25">
      <c r="A5" s="60">
        <v>1</v>
      </c>
      <c r="B5" s="48">
        <v>60.849308725611792</v>
      </c>
      <c r="C5" s="48">
        <v>62.377412748413214</v>
      </c>
      <c r="D5" s="48">
        <v>93.012171157225751</v>
      </c>
      <c r="E5" s="48">
        <v>69.378718321151865</v>
      </c>
      <c r="G5" s="59">
        <f t="shared" ref="G5:G24" si="1">2*(B5-B$4)/(B$4+B5)</f>
        <v>0.23548346366015388</v>
      </c>
      <c r="H5" s="59">
        <f t="shared" ref="H5:I24" si="2">2*(C5-C$4)/(C$4+C5)</f>
        <v>0.21806643288308378</v>
      </c>
      <c r="I5" s="59">
        <f t="shared" si="2"/>
        <v>0.21809252488231162</v>
      </c>
      <c r="J5" s="59">
        <f t="shared" ref="J5:J24" si="3">2*(E5-E$4)/(E$4+E5)</f>
        <v>0.26804337554192453</v>
      </c>
      <c r="K5" s="13" t="s">
        <v>19</v>
      </c>
      <c r="L5" s="32">
        <f>INDEX(LINEST(G6:G24,N6:N24^{1}),1)</f>
        <v>0.32286559712724089</v>
      </c>
      <c r="N5" s="31">
        <f t="shared" ref="N5:N24" si="4">A5^0.5</f>
        <v>1</v>
      </c>
      <c r="O5" s="24"/>
    </row>
    <row r="6" spans="1:15" x14ac:dyDescent="0.25">
      <c r="A6" s="60">
        <v>2</v>
      </c>
      <c r="B6" s="48">
        <v>73.598934636721552</v>
      </c>
      <c r="C6" s="48">
        <v>73.008434159683361</v>
      </c>
      <c r="D6" s="48">
        <v>114.90915551510011</v>
      </c>
      <c r="E6" s="48">
        <v>85.777439836017493</v>
      </c>
      <c r="G6" s="59">
        <f t="shared" ref="G6" si="5">2*(B6-B$4)/(B$4+B6)</f>
        <v>0.42044751328420082</v>
      </c>
      <c r="H6" s="59">
        <f t="shared" ref="H6:I6" si="6">2*(C6-C$4)/(C$4+C6)</f>
        <v>0.37192982863489471</v>
      </c>
      <c r="I6" s="59">
        <f t="shared" si="6"/>
        <v>0.42385256355856071</v>
      </c>
      <c r="J6" s="59">
        <f t="shared" ref="J6" si="7">2*(E6-E$4)/(E$4+E6)</f>
        <v>0.47273059842231363</v>
      </c>
      <c r="K6" s="24"/>
      <c r="N6" s="31">
        <f t="shared" si="4"/>
        <v>1.4142135623730951</v>
      </c>
      <c r="O6" s="24"/>
    </row>
    <row r="7" spans="1:15" x14ac:dyDescent="0.25">
      <c r="A7" s="60">
        <v>3</v>
      </c>
      <c r="B7" s="48">
        <v>86.285355645325339</v>
      </c>
      <c r="C7" s="48">
        <v>84.666073249099156</v>
      </c>
      <c r="D7" s="48">
        <v>144.9378127145832</v>
      </c>
      <c r="E7" s="48">
        <v>102.17616135088312</v>
      </c>
      <c r="G7" s="59">
        <f t="shared" si="1"/>
        <v>0.56964052070589333</v>
      </c>
      <c r="H7" s="59">
        <f t="shared" si="2"/>
        <v>0.51274956345925449</v>
      </c>
      <c r="I7" s="59">
        <f t="shared" si="2"/>
        <v>0.63932078977410067</v>
      </c>
      <c r="J7" s="59">
        <f t="shared" si="3"/>
        <v>0.63415033123934894</v>
      </c>
      <c r="K7" s="24"/>
      <c r="N7" s="31">
        <f t="shared" si="4"/>
        <v>1.7320508075688772</v>
      </c>
      <c r="O7" s="24"/>
    </row>
    <row r="8" spans="1:15" x14ac:dyDescent="0.25">
      <c r="A8" s="60">
        <v>4</v>
      </c>
      <c r="B8" s="48">
        <v>98.90834327169695</v>
      </c>
      <c r="C8" s="48">
        <v>96.693919672006885</v>
      </c>
      <c r="D8" s="48">
        <v>178.26831762770891</v>
      </c>
      <c r="E8" s="48">
        <v>118.57488286574869</v>
      </c>
      <c r="G8" s="59">
        <f t="shared" si="1"/>
        <v>0.69251822468326241</v>
      </c>
      <c r="H8" s="59">
        <f t="shared" si="2"/>
        <v>0.6346001236887131</v>
      </c>
      <c r="I8" s="59">
        <f t="shared" si="2"/>
        <v>0.81858545356992851</v>
      </c>
      <c r="J8" s="59">
        <f t="shared" si="3"/>
        <v>0.76471023365656021</v>
      </c>
      <c r="N8" s="31">
        <f t="shared" si="4"/>
        <v>2</v>
      </c>
      <c r="O8" s="24"/>
    </row>
    <row r="9" spans="1:15" x14ac:dyDescent="0.25">
      <c r="A9" s="60">
        <v>5</v>
      </c>
      <c r="B9" s="48">
        <v>111.46067440500836</v>
      </c>
      <c r="C9" s="48">
        <v>108.73469389597646</v>
      </c>
      <c r="D9" s="48">
        <v>222.84077065470959</v>
      </c>
      <c r="E9" s="48">
        <v>134.97360438061432</v>
      </c>
      <c r="G9" s="59">
        <f t="shared" si="1"/>
        <v>0.79542063326440771</v>
      </c>
      <c r="H9" s="59">
        <f t="shared" si="2"/>
        <v>0.73809891495591118</v>
      </c>
      <c r="I9" s="59">
        <f t="shared" si="2"/>
        <v>0.99555195418744902</v>
      </c>
      <c r="J9" s="59">
        <f t="shared" si="3"/>
        <v>0.87248775289805547</v>
      </c>
      <c r="N9" s="31">
        <f t="shared" si="4"/>
        <v>2.2360679774997898</v>
      </c>
      <c r="O9" s="24"/>
    </row>
    <row r="10" spans="1:15" ht="15.75" thickBot="1" x14ac:dyDescent="0.3">
      <c r="A10" s="60">
        <v>6</v>
      </c>
      <c r="B10" s="48">
        <v>123.9493093428909</v>
      </c>
      <c r="C10" s="48">
        <v>113.85172588172557</v>
      </c>
      <c r="D10" s="48">
        <v>274.2337847084803</v>
      </c>
      <c r="E10" s="48">
        <v>151.37232589547986</v>
      </c>
      <c r="G10" s="59">
        <f t="shared" si="1"/>
        <v>0.88289381721846949</v>
      </c>
      <c r="H10" s="59">
        <f t="shared" si="2"/>
        <v>0.7774806529149958</v>
      </c>
      <c r="I10" s="59">
        <f t="shared" si="2"/>
        <v>1.1434838601814101</v>
      </c>
      <c r="J10" s="59">
        <f t="shared" si="3"/>
        <v>0.96296756296514829</v>
      </c>
      <c r="K10" s="12" t="s">
        <v>28</v>
      </c>
      <c r="N10" s="31">
        <f t="shared" si="4"/>
        <v>2.4494897427831779</v>
      </c>
      <c r="O10" s="24"/>
    </row>
    <row r="11" spans="1:15" ht="15.75" thickBot="1" x14ac:dyDescent="0.3">
      <c r="A11" s="60">
        <v>7</v>
      </c>
      <c r="B11" s="48">
        <v>136.37057471054445</v>
      </c>
      <c r="C11" s="48">
        <v>125.5212655062374</v>
      </c>
      <c r="D11" s="48">
        <v>325.18077449126542</v>
      </c>
      <c r="E11" s="48">
        <v>167.77104741034543</v>
      </c>
      <c r="G11" s="59">
        <f t="shared" si="1"/>
        <v>0.95814246844570439</v>
      </c>
      <c r="H11" s="59">
        <f t="shared" si="2"/>
        <v>0.85870794053965138</v>
      </c>
      <c r="I11" s="59">
        <f t="shared" si="2"/>
        <v>1.2526028314646316</v>
      </c>
      <c r="J11" s="59">
        <f t="shared" si="3"/>
        <v>1.0400045989491242</v>
      </c>
      <c r="K11" s="7" t="s">
        <v>19</v>
      </c>
      <c r="L11" s="32">
        <f>INDEX(LINEST(H6:H24,N6:N24^{1}),1)</f>
        <v>0.32063046576874588</v>
      </c>
      <c r="N11" s="31">
        <f t="shared" si="4"/>
        <v>2.6457513110645907</v>
      </c>
      <c r="O11" s="24"/>
    </row>
    <row r="12" spans="1:15" x14ac:dyDescent="0.25">
      <c r="A12" s="60">
        <v>8</v>
      </c>
      <c r="B12" s="48">
        <v>148.72569212013371</v>
      </c>
      <c r="C12" s="48">
        <v>137.19390920912488</v>
      </c>
      <c r="D12" s="48">
        <v>381.20048337563856</v>
      </c>
      <c r="E12" s="48">
        <v>184.16976892521103</v>
      </c>
      <c r="G12" s="59">
        <f t="shared" si="1"/>
        <v>1.0235651826867469</v>
      </c>
      <c r="H12" s="59">
        <f t="shared" si="2"/>
        <v>0.92983156097023356</v>
      </c>
      <c r="I12" s="59">
        <f t="shared" si="2"/>
        <v>1.3444364744896817</v>
      </c>
      <c r="J12" s="59">
        <f t="shared" si="3"/>
        <v>1.1063875329099742</v>
      </c>
      <c r="K12" s="24"/>
      <c r="N12" s="31">
        <f t="shared" si="4"/>
        <v>2.8284271247461903</v>
      </c>
      <c r="O12" s="24"/>
    </row>
    <row r="13" spans="1:15" x14ac:dyDescent="0.25">
      <c r="A13" s="60">
        <v>9</v>
      </c>
      <c r="B13" s="48">
        <v>161.01647770192673</v>
      </c>
      <c r="C13" s="48">
        <v>148.8760542185783</v>
      </c>
      <c r="D13" s="48">
        <v>442.29291136159821</v>
      </c>
      <c r="E13" s="48">
        <v>200.56849044007669</v>
      </c>
      <c r="G13" s="59">
        <f t="shared" si="1"/>
        <v>1.0809742719821211</v>
      </c>
      <c r="H13" s="59">
        <f t="shared" si="2"/>
        <v>0.99265867000947738</v>
      </c>
      <c r="I13" s="59">
        <f t="shared" si="2"/>
        <v>1.421900411078558</v>
      </c>
      <c r="J13" s="59">
        <f t="shared" si="3"/>
        <v>1.1641835866319692</v>
      </c>
      <c r="K13" s="24"/>
      <c r="N13" s="31">
        <f t="shared" si="4"/>
        <v>3</v>
      </c>
      <c r="O13" s="24"/>
    </row>
    <row r="14" spans="1:15" x14ac:dyDescent="0.25">
      <c r="A14" s="60">
        <v>10</v>
      </c>
      <c r="B14" s="48">
        <v>173.24140857681502</v>
      </c>
      <c r="C14" s="48">
        <v>160.5495193642258</v>
      </c>
      <c r="D14" s="48">
        <v>508.45805844914503</v>
      </c>
      <c r="E14" s="48">
        <v>216.96721195494226</v>
      </c>
      <c r="G14" s="59">
        <f t="shared" si="1"/>
        <v>1.1317492051018554</v>
      </c>
      <c r="H14" s="59">
        <f t="shared" si="2"/>
        <v>1.04847877098541</v>
      </c>
      <c r="I14" s="59">
        <f t="shared" si="2"/>
        <v>1.4874892117379734</v>
      </c>
      <c r="J14" s="59">
        <f t="shared" si="3"/>
        <v>1.214957664509172</v>
      </c>
      <c r="N14" s="31">
        <f t="shared" si="4"/>
        <v>3.1622776601683795</v>
      </c>
      <c r="O14" s="24"/>
    </row>
    <row r="15" spans="1:15" ht="15.75" thickBot="1" x14ac:dyDescent="0.3">
      <c r="A15" s="60">
        <v>11</v>
      </c>
      <c r="B15" s="48">
        <v>185.40364400431565</v>
      </c>
      <c r="C15" s="48">
        <v>172.30305955745698</v>
      </c>
      <c r="D15" s="48">
        <v>579.69592463827667</v>
      </c>
      <c r="E15" s="48">
        <v>233.36593346980783</v>
      </c>
      <c r="G15" s="59">
        <f t="shared" si="1"/>
        <v>1.1769864028676467</v>
      </c>
      <c r="H15" s="59">
        <f t="shared" si="2"/>
        <v>1.0987619130455215</v>
      </c>
      <c r="I15" s="59">
        <f t="shared" si="2"/>
        <v>1.5432795628753839</v>
      </c>
      <c r="J15" s="59">
        <f t="shared" si="3"/>
        <v>1.259916189411834</v>
      </c>
      <c r="K15" s="12" t="s">
        <v>44</v>
      </c>
      <c r="N15" s="31">
        <f t="shared" si="4"/>
        <v>3.3166247903553998</v>
      </c>
      <c r="O15" s="24"/>
    </row>
    <row r="16" spans="1:15" ht="15.75" thickBot="1" x14ac:dyDescent="0.3">
      <c r="A16" s="60">
        <v>12</v>
      </c>
      <c r="B16" s="48">
        <v>197.49856588970454</v>
      </c>
      <c r="C16" s="48">
        <v>184.06021637200837</v>
      </c>
      <c r="D16" s="48">
        <v>656.36764450526448</v>
      </c>
      <c r="E16" s="48">
        <v>249.76465498467351</v>
      </c>
      <c r="G16" s="59">
        <f t="shared" si="1"/>
        <v>1.2175287205755336</v>
      </c>
      <c r="H16" s="59">
        <f t="shared" si="2"/>
        <v>1.1440105945716752</v>
      </c>
      <c r="I16" s="59">
        <f t="shared" si="2"/>
        <v>1.5911773386993311</v>
      </c>
      <c r="J16" s="59">
        <f t="shared" si="3"/>
        <v>1.3000041917454837</v>
      </c>
      <c r="K16" s="7" t="s">
        <v>19</v>
      </c>
      <c r="L16" s="32" cm="1">
        <f t="array" ref="L16">_xlfn.SINGLE(INDEX(LINEST(I6:I24,N6:N24^{1}),1))</f>
        <v>0.4366167381405554</v>
      </c>
      <c r="N16" s="31">
        <f t="shared" si="4"/>
        <v>3.4641016151377544</v>
      </c>
      <c r="O16" s="24"/>
    </row>
    <row r="17" spans="1:15" x14ac:dyDescent="0.25">
      <c r="A17" s="60">
        <v>13</v>
      </c>
      <c r="B17" s="48">
        <v>209.53123503879229</v>
      </c>
      <c r="C17" s="48">
        <v>195.73706483006183</v>
      </c>
      <c r="D17" s="48">
        <v>737.76497354130981</v>
      </c>
      <c r="E17" s="48">
        <v>266.16337649953891</v>
      </c>
      <c r="G17" s="59">
        <f t="shared" si="1"/>
        <v>1.2540840228648844</v>
      </c>
      <c r="H17" s="59">
        <f t="shared" si="2"/>
        <v>1.1846666225649849</v>
      </c>
      <c r="I17" s="59">
        <f t="shared" si="2"/>
        <v>1.6321344203656178</v>
      </c>
      <c r="J17" s="59">
        <f t="shared" si="3"/>
        <v>1.3359724658231626</v>
      </c>
      <c r="N17" s="31">
        <f t="shared" si="4"/>
        <v>3.6055512754639891</v>
      </c>
      <c r="O17" s="24"/>
    </row>
    <row r="18" spans="1:15" x14ac:dyDescent="0.25">
      <c r="A18" s="60">
        <v>14</v>
      </c>
      <c r="B18" s="48">
        <v>221.49732202112079</v>
      </c>
      <c r="C18" s="48">
        <v>207.40797286734727</v>
      </c>
      <c r="D18" s="48">
        <v>824.23502167894037</v>
      </c>
      <c r="E18" s="48">
        <v>282.5620980144044</v>
      </c>
      <c r="G18" s="59">
        <f t="shared" si="1"/>
        <v>1.2872001654643912</v>
      </c>
      <c r="H18" s="59">
        <f t="shared" si="2"/>
        <v>1.2216178141873868</v>
      </c>
      <c r="I18" s="59">
        <f t="shared" si="2"/>
        <v>1.667519175342177</v>
      </c>
      <c r="J18" s="59">
        <f t="shared" si="3"/>
        <v>1.3684250337103241</v>
      </c>
      <c r="N18" s="31">
        <f t="shared" si="4"/>
        <v>3.7416573867739413</v>
      </c>
      <c r="O18" s="24"/>
    </row>
    <row r="19" spans="1:15" x14ac:dyDescent="0.25">
      <c r="A19" s="60">
        <v>15</v>
      </c>
      <c r="B19" s="48">
        <v>233.39939784273093</v>
      </c>
      <c r="C19" s="48">
        <v>212.09412004294842</v>
      </c>
      <c r="D19" s="48">
        <v>920.34237349550324</v>
      </c>
      <c r="E19" s="48">
        <v>298.96081952927017</v>
      </c>
      <c r="G19" s="59">
        <f t="shared" si="1"/>
        <v>1.3173455825096148</v>
      </c>
      <c r="H19" s="59">
        <f t="shared" si="2"/>
        <v>1.2355290430265105</v>
      </c>
      <c r="I19" s="59">
        <f t="shared" si="2"/>
        <v>1.699631539322416</v>
      </c>
      <c r="J19" s="59">
        <f t="shared" si="3"/>
        <v>1.3978533395709045</v>
      </c>
      <c r="K19" s="24"/>
      <c r="N19" s="31">
        <f t="shared" si="4"/>
        <v>3.872983346207417</v>
      </c>
      <c r="O19" s="24"/>
    </row>
    <row r="20" spans="1:15" x14ac:dyDescent="0.25">
      <c r="A20" s="60">
        <v>16</v>
      </c>
      <c r="B20" s="48">
        <v>245.23636727133402</v>
      </c>
      <c r="C20" s="48">
        <v>223.45612277608834</v>
      </c>
      <c r="D20" s="48">
        <v>1018.1494889740017</v>
      </c>
      <c r="E20" s="48">
        <v>315.35954104413571</v>
      </c>
      <c r="G20" s="59">
        <f t="shared" si="1"/>
        <v>1.3448992623653921</v>
      </c>
      <c r="H20" s="59">
        <f t="shared" si="2"/>
        <v>1.2672794953795736</v>
      </c>
      <c r="I20" s="59">
        <f t="shared" si="2"/>
        <v>1.726513188154198</v>
      </c>
      <c r="J20" s="59">
        <f t="shared" si="3"/>
        <v>1.4246613098830487</v>
      </c>
      <c r="K20" s="24"/>
      <c r="N20" s="31">
        <f t="shared" si="4"/>
        <v>4</v>
      </c>
      <c r="O20" s="24"/>
    </row>
    <row r="21" spans="1:15" ht="15.75" thickBot="1" x14ac:dyDescent="0.3">
      <c r="A21" s="60">
        <v>17</v>
      </c>
      <c r="B21" s="48">
        <v>257.00945439616595</v>
      </c>
      <c r="C21" s="48">
        <v>234.77187632257051</v>
      </c>
      <c r="D21" s="48">
        <v>1120.8312254612779</v>
      </c>
      <c r="E21" s="48">
        <v>331.75826255900131</v>
      </c>
      <c r="G21" s="59">
        <f t="shared" si="1"/>
        <v>1.3701830917365265</v>
      </c>
      <c r="H21" s="59">
        <f t="shared" si="2"/>
        <v>1.2963835502977474</v>
      </c>
      <c r="I21" s="59">
        <f t="shared" si="2"/>
        <v>1.7500019907751991</v>
      </c>
      <c r="J21" s="59">
        <f t="shared" si="3"/>
        <v>1.4491840047965214</v>
      </c>
      <c r="K21" s="12" t="s">
        <v>45</v>
      </c>
      <c r="N21" s="31">
        <f t="shared" si="4"/>
        <v>4.1231056256176606</v>
      </c>
      <c r="O21" s="24"/>
    </row>
    <row r="22" spans="1:15" ht="15.75" thickBot="1" x14ac:dyDescent="0.3">
      <c r="A22" s="60">
        <v>18</v>
      </c>
      <c r="B22" s="48">
        <v>268.71706129833098</v>
      </c>
      <c r="C22" s="48">
        <v>246.08531408873677</v>
      </c>
      <c r="D22" s="48">
        <v>1228.6593104297665</v>
      </c>
      <c r="E22" s="48">
        <v>348.15698407386685</v>
      </c>
      <c r="G22" s="59">
        <f t="shared" si="1"/>
        <v>1.3934624099963204</v>
      </c>
      <c r="H22" s="59">
        <f t="shared" si="2"/>
        <v>1.323258584381992</v>
      </c>
      <c r="I22" s="59">
        <f t="shared" si="2"/>
        <v>1.7706842100167886</v>
      </c>
      <c r="J22" s="59">
        <f t="shared" si="3"/>
        <v>1.4717016946177299</v>
      </c>
      <c r="K22" s="7" t="s">
        <v>19</v>
      </c>
      <c r="L22" s="32">
        <f>INDEX(LINEST(J6:J24,N6:N24^{1}),1)</f>
        <v>0.32770199972105701</v>
      </c>
      <c r="N22" s="31">
        <f t="shared" si="4"/>
        <v>4.2426406871192848</v>
      </c>
      <c r="O22" s="24"/>
    </row>
    <row r="23" spans="1:15" x14ac:dyDescent="0.25">
      <c r="A23" s="60">
        <v>19</v>
      </c>
      <c r="B23" s="48">
        <v>280.36037448843695</v>
      </c>
      <c r="C23" s="48">
        <v>257.40699077603398</v>
      </c>
      <c r="D23" s="48">
        <v>1341.6337438794717</v>
      </c>
      <c r="E23" s="48">
        <v>364.55570558873268</v>
      </c>
      <c r="G23" s="59">
        <f t="shared" si="1"/>
        <v>1.4149676489221192</v>
      </c>
      <c r="H23" s="59">
        <f t="shared" si="2"/>
        <v>1.3481735988001673</v>
      </c>
      <c r="I23" s="59">
        <f t="shared" si="2"/>
        <v>1.7889753996993352</v>
      </c>
      <c r="J23" s="59">
        <f t="shared" si="3"/>
        <v>1.4924506191696791</v>
      </c>
      <c r="N23" s="31">
        <f t="shared" si="4"/>
        <v>4.358898943540674</v>
      </c>
      <c r="O23" s="24"/>
    </row>
    <row r="24" spans="1:15" x14ac:dyDescent="0.25">
      <c r="A24" s="60">
        <v>20</v>
      </c>
      <c r="B24" s="48">
        <v>291.94078388653946</v>
      </c>
      <c r="C24" s="48">
        <v>268.71868112311608</v>
      </c>
      <c r="D24" s="48">
        <v>1459.7545258103921</v>
      </c>
      <c r="E24" s="48">
        <v>380.95442710359799</v>
      </c>
      <c r="G24" s="59">
        <f t="shared" si="1"/>
        <v>1.4348955966601942</v>
      </c>
      <c r="H24" s="59">
        <f t="shared" si="2"/>
        <v>1.3712995147181324</v>
      </c>
      <c r="I24" s="59">
        <f t="shared" si="2"/>
        <v>1.8052196363219224</v>
      </c>
      <c r="J24" s="59">
        <f t="shared" si="3"/>
        <v>1.5116313075241188</v>
      </c>
      <c r="K24" s="30"/>
      <c r="N24" s="31">
        <f t="shared" si="4"/>
        <v>4.4721359549995796</v>
      </c>
      <c r="O24" s="24"/>
    </row>
  </sheetData>
  <pageMargins left="0.7" right="0.7" top="0.75" bottom="0.75" header="0.3" footer="0.3"/>
  <pageSetup paperSize="9"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8">
    <tabColor theme="4" tint="-0.249977111117893"/>
  </sheetPr>
  <dimension ref="A1:AE27"/>
  <sheetViews>
    <sheetView zoomScale="85" zoomScaleNormal="85" workbookViewId="0">
      <selection activeCell="G3" sqref="G3:J27"/>
    </sheetView>
  </sheetViews>
  <sheetFormatPr defaultColWidth="9.140625" defaultRowHeight="15" x14ac:dyDescent="0.25"/>
  <cols>
    <col min="1" max="1" width="28.140625" style="10" customWidth="1"/>
    <col min="2" max="6" width="16.7109375" style="10" customWidth="1"/>
    <col min="7" max="10" width="13.5703125" style="10" customWidth="1"/>
    <col min="11" max="11" width="21.140625" style="10" bestFit="1" customWidth="1"/>
    <col min="12" max="12" width="12.42578125" style="30" customWidth="1"/>
    <col min="13" max="13" width="21.140625" style="10" bestFit="1" customWidth="1"/>
    <col min="14" max="26" width="9.140625" style="10"/>
    <col min="27" max="27" width="25.85546875" style="10" bestFit="1" customWidth="1"/>
    <col min="28" max="28" width="25.85546875" style="10" customWidth="1"/>
    <col min="29" max="29" width="24.85546875" style="10" bestFit="1" customWidth="1"/>
    <col min="30" max="30" width="11.7109375" style="10" bestFit="1" customWidth="1"/>
    <col min="31" max="31" width="14.28515625" style="10" bestFit="1" customWidth="1"/>
    <col min="32" max="16384" width="9.140625" style="10"/>
  </cols>
  <sheetData>
    <row r="1" spans="1:31" ht="21" x14ac:dyDescent="0.25">
      <c r="A1" s="3" t="s">
        <v>23</v>
      </c>
      <c r="B1" s="3"/>
      <c r="C1" s="3"/>
      <c r="D1" s="15"/>
      <c r="M1"/>
      <c r="O1"/>
    </row>
    <row r="2" spans="1:31" ht="15.75" thickBot="1" x14ac:dyDescent="0.3">
      <c r="M2"/>
      <c r="O2"/>
    </row>
    <row r="3" spans="1:31" ht="15.75" thickBot="1" x14ac:dyDescent="0.3">
      <c r="A3" s="56" t="s">
        <v>25</v>
      </c>
      <c r="B3" s="56" t="s">
        <v>6</v>
      </c>
      <c r="C3" s="56" t="s">
        <v>46</v>
      </c>
      <c r="D3" s="56" t="s">
        <v>44</v>
      </c>
      <c r="E3" s="56" t="s">
        <v>45</v>
      </c>
      <c r="F3" s="56" t="s">
        <v>16</v>
      </c>
      <c r="G3" s="56" t="s">
        <v>6</v>
      </c>
      <c r="H3" s="56" t="s">
        <v>46</v>
      </c>
      <c r="I3" s="56" t="s">
        <v>44</v>
      </c>
      <c r="J3" s="56" t="s">
        <v>45</v>
      </c>
      <c r="M3"/>
      <c r="O3"/>
      <c r="AA3" s="8" t="s">
        <v>24</v>
      </c>
      <c r="AB3" s="8" t="s">
        <v>7</v>
      </c>
      <c r="AC3" s="7" t="s">
        <v>22</v>
      </c>
      <c r="AD3" s="8" t="s">
        <v>26</v>
      </c>
      <c r="AE3" s="5" t="s">
        <v>43</v>
      </c>
    </row>
    <row r="4" spans="1:31" ht="15.75" thickBot="1" x14ac:dyDescent="0.3">
      <c r="A4" s="59">
        <v>0.2</v>
      </c>
      <c r="B4" s="48">
        <v>10.236598870833749</v>
      </c>
      <c r="C4" s="48">
        <v>11.162618310053707</v>
      </c>
      <c r="D4" s="48">
        <v>15.070432285691874</v>
      </c>
      <c r="E4" s="48">
        <v>10.804376631142716</v>
      </c>
      <c r="F4" s="10">
        <f>ROUND(A4*300,0)</f>
        <v>60</v>
      </c>
      <c r="G4" s="59">
        <f t="shared" ref="G4:G27" si="0">2*(B4-B$16)/(B$16+B4)</f>
        <v>-1.2997481234392849</v>
      </c>
      <c r="H4" s="59">
        <f t="shared" ref="H4:H27" si="1">2*(C4-C$16)/(C$16+C4)</f>
        <v>-1.2731949984068895</v>
      </c>
      <c r="I4" s="59">
        <f t="shared" ref="I4:I27" si="2">2*(D4-D$16)/(D$16+D4)</f>
        <v>-1.3295498414006701</v>
      </c>
      <c r="J4" s="59">
        <f t="shared" ref="J4:J19" si="3">2*(E4-E$16)/(E$16+E4)</f>
        <v>-1.3245252279570454</v>
      </c>
      <c r="K4" s="12" t="s">
        <v>6</v>
      </c>
      <c r="M4"/>
      <c r="AA4" s="2" t="s">
        <v>8</v>
      </c>
      <c r="AB4" s="20">
        <v>1</v>
      </c>
      <c r="AC4" s="34">
        <v>70</v>
      </c>
      <c r="AD4" s="25">
        <v>70</v>
      </c>
      <c r="AE4" s="25">
        <f>0</f>
        <v>0</v>
      </c>
    </row>
    <row r="5" spans="1:31" ht="15.75" thickBot="1" x14ac:dyDescent="0.3">
      <c r="A5" s="59">
        <v>0.3</v>
      </c>
      <c r="B5" s="48">
        <v>14.972260206796582</v>
      </c>
      <c r="C5" s="48">
        <v>16.63936911840559</v>
      </c>
      <c r="D5" s="48">
        <v>22.531172444678937</v>
      </c>
      <c r="E5" s="48">
        <v>16.078742055735923</v>
      </c>
      <c r="F5" s="10">
        <f t="shared" ref="F5:F27" si="4">ROUND(A5*300,0)</f>
        <v>90</v>
      </c>
      <c r="G5" s="59">
        <f t="shared" si="0"/>
        <v>-1.0525305914779353</v>
      </c>
      <c r="H5" s="59">
        <f t="shared" si="1"/>
        <v>-1.0052784501509273</v>
      </c>
      <c r="I5" s="59">
        <f t="shared" si="2"/>
        <v>-1.0744391753104818</v>
      </c>
      <c r="J5" s="59">
        <f t="shared" si="3"/>
        <v>-1.0713350581400092</v>
      </c>
      <c r="K5" s="7" t="s">
        <v>20</v>
      </c>
      <c r="L5" s="32">
        <f>INDEX(LINEST(G4:G27,A4:A27^{1,2}),1)</f>
        <v>-0.55808621047869578</v>
      </c>
      <c r="AA5" s="2" t="s">
        <v>8</v>
      </c>
      <c r="AB5" s="20">
        <v>16</v>
      </c>
      <c r="AC5" s="35">
        <v>50</v>
      </c>
      <c r="AD5" s="25">
        <v>50</v>
      </c>
      <c r="AE5" s="25">
        <f>AE4+AD4</f>
        <v>70</v>
      </c>
    </row>
    <row r="6" spans="1:31" ht="15.75" thickBot="1" x14ac:dyDescent="0.3">
      <c r="A6" s="59">
        <v>0.5</v>
      </c>
      <c r="B6" s="48">
        <v>24.493250576191922</v>
      </c>
      <c r="C6" s="48">
        <v>27.611769105563823</v>
      </c>
      <c r="D6" s="48">
        <v>37.481164117765985</v>
      </c>
      <c r="E6" s="48">
        <v>26.686558545010886</v>
      </c>
      <c r="F6" s="10">
        <f t="shared" si="4"/>
        <v>150</v>
      </c>
      <c r="G6" s="59">
        <f t="shared" si="0"/>
        <v>-0.65293029319279794</v>
      </c>
      <c r="H6" s="59">
        <f t="shared" si="1"/>
        <v>-0.58188577935216712</v>
      </c>
      <c r="I6" s="59">
        <f t="shared" si="2"/>
        <v>-0.66523697364298151</v>
      </c>
      <c r="J6" s="59">
        <f t="shared" si="3"/>
        <v>-0.66338504926996655</v>
      </c>
      <c r="K6" s="13" t="s">
        <v>19</v>
      </c>
      <c r="L6" s="32">
        <f>INDEX(LINEST(G4:G27,A4:A27^{1,2}),1,2)</f>
        <v>2.1563607355775924</v>
      </c>
      <c r="AA6" s="2" t="s">
        <v>8</v>
      </c>
      <c r="AB6" s="20">
        <v>10</v>
      </c>
      <c r="AC6" s="35">
        <v>70</v>
      </c>
      <c r="AD6" s="25">
        <v>70</v>
      </c>
      <c r="AE6" s="25">
        <f t="shared" ref="AE6:AE13" si="5">AE5+AD5</f>
        <v>120</v>
      </c>
    </row>
    <row r="7" spans="1:31" ht="15.75" thickBot="1" x14ac:dyDescent="0.3">
      <c r="A7" s="59">
        <v>0.55000000000000004</v>
      </c>
      <c r="B7" s="48">
        <v>27.188035274799709</v>
      </c>
      <c r="C7" s="48">
        <v>29.729260170418868</v>
      </c>
      <c r="D7" s="48">
        <v>42.245503765564351</v>
      </c>
      <c r="E7" s="48">
        <v>29.838815581583344</v>
      </c>
      <c r="F7" s="10">
        <f t="shared" si="4"/>
        <v>165</v>
      </c>
      <c r="G7" s="59">
        <f t="shared" si="0"/>
        <v>-0.55814669936119177</v>
      </c>
      <c r="H7" s="59">
        <f t="shared" si="1"/>
        <v>-0.51354725013274949</v>
      </c>
      <c r="I7" s="59">
        <f t="shared" si="2"/>
        <v>-0.55678725900057768</v>
      </c>
      <c r="J7" s="59">
        <f t="shared" si="3"/>
        <v>-0.56225107845443245</v>
      </c>
      <c r="K7" s="14" t="s">
        <v>18</v>
      </c>
      <c r="L7" s="32">
        <f>INDEX(LINEST(G4:G27,A4:A27^{1,2}),1,3)</f>
        <v>-1.6157553825212256</v>
      </c>
      <c r="AA7" s="2" t="s">
        <v>8</v>
      </c>
      <c r="AB7" s="20">
        <v>40</v>
      </c>
      <c r="AC7" s="35">
        <v>10</v>
      </c>
      <c r="AD7" s="25">
        <v>10</v>
      </c>
      <c r="AE7" s="25">
        <f t="shared" si="5"/>
        <v>190</v>
      </c>
    </row>
    <row r="8" spans="1:31" x14ac:dyDescent="0.25">
      <c r="A8" s="59">
        <v>0.6</v>
      </c>
      <c r="B8" s="48">
        <v>29.251918417805744</v>
      </c>
      <c r="C8" s="48">
        <v>31.827032541699786</v>
      </c>
      <c r="D8" s="48">
        <v>44.956159954309619</v>
      </c>
      <c r="E8" s="48">
        <v>31.990466789648362</v>
      </c>
      <c r="F8" s="10">
        <f t="shared" si="4"/>
        <v>180</v>
      </c>
      <c r="G8" s="59">
        <f t="shared" si="0"/>
        <v>-0.49001177706034643</v>
      </c>
      <c r="H8" s="59">
        <f t="shared" si="1"/>
        <v>-0.44932121375190814</v>
      </c>
      <c r="I8" s="59">
        <f t="shared" si="2"/>
        <v>-0.49893513747541973</v>
      </c>
      <c r="J8" s="59">
        <f t="shared" si="3"/>
        <v>-0.49751862231865074</v>
      </c>
      <c r="AA8" s="27" t="s">
        <v>10</v>
      </c>
      <c r="AB8" s="20">
        <v>1</v>
      </c>
      <c r="AC8" s="35">
        <v>40</v>
      </c>
      <c r="AD8" s="25">
        <v>40</v>
      </c>
      <c r="AE8" s="25">
        <f t="shared" si="5"/>
        <v>200</v>
      </c>
    </row>
    <row r="9" spans="1:31" x14ac:dyDescent="0.25">
      <c r="A9" s="59">
        <v>0.65</v>
      </c>
      <c r="B9" s="48">
        <v>31.17002719706511</v>
      </c>
      <c r="C9" s="48">
        <v>33.78745903144592</v>
      </c>
      <c r="D9" s="48">
        <v>47.579520786157232</v>
      </c>
      <c r="E9" s="48">
        <v>34.021659299651716</v>
      </c>
      <c r="F9" s="10">
        <f t="shared" si="4"/>
        <v>195</v>
      </c>
      <c r="G9" s="59">
        <f t="shared" si="0"/>
        <v>-0.42986469821915341</v>
      </c>
      <c r="H9" s="59">
        <f t="shared" si="1"/>
        <v>-0.39219790257247478</v>
      </c>
      <c r="I9" s="59">
        <f t="shared" si="2"/>
        <v>-0.44538561009966487</v>
      </c>
      <c r="J9" s="59">
        <f t="shared" si="3"/>
        <v>-0.4393415019882197</v>
      </c>
      <c r="AA9" s="19" t="s">
        <v>11</v>
      </c>
      <c r="AB9" s="20">
        <v>1</v>
      </c>
      <c r="AC9" s="35">
        <v>20</v>
      </c>
      <c r="AD9" s="25">
        <v>20</v>
      </c>
      <c r="AE9" s="25">
        <f t="shared" si="5"/>
        <v>240</v>
      </c>
    </row>
    <row r="10" spans="1:31" ht="15.75" thickBot="1" x14ac:dyDescent="0.3">
      <c r="A10" s="59">
        <v>0.7</v>
      </c>
      <c r="B10" s="48">
        <v>34.00936170257674</v>
      </c>
      <c r="C10" s="48">
        <v>36.544148804776682</v>
      </c>
      <c r="D10" s="48">
        <v>52.43115579085319</v>
      </c>
      <c r="E10" s="48">
        <v>37.294375034285842</v>
      </c>
      <c r="F10" s="10">
        <f t="shared" si="4"/>
        <v>210</v>
      </c>
      <c r="G10" s="59">
        <f t="shared" si="0"/>
        <v>-0.34598036835882612</v>
      </c>
      <c r="H10" s="59">
        <f t="shared" si="1"/>
        <v>-0.31623736563443627</v>
      </c>
      <c r="I10" s="59">
        <f t="shared" si="2"/>
        <v>-0.35216776830289431</v>
      </c>
      <c r="J10" s="59">
        <f t="shared" si="3"/>
        <v>-0.35110021674035224</v>
      </c>
      <c r="K10" s="12" t="s">
        <v>5</v>
      </c>
      <c r="AA10" s="19" t="s">
        <v>9</v>
      </c>
      <c r="AB10" s="20">
        <v>1</v>
      </c>
      <c r="AC10" s="35">
        <v>20</v>
      </c>
      <c r="AD10" s="25">
        <v>20</v>
      </c>
      <c r="AE10" s="25">
        <f t="shared" si="5"/>
        <v>260</v>
      </c>
    </row>
    <row r="11" spans="1:31" ht="15.75" thickBot="1" x14ac:dyDescent="0.3">
      <c r="A11" s="59">
        <v>0.75</v>
      </c>
      <c r="B11" s="48">
        <v>36.823453462640323</v>
      </c>
      <c r="C11" s="48">
        <v>39.281986898335973</v>
      </c>
      <c r="D11" s="48">
        <v>57.268535117992649</v>
      </c>
      <c r="E11" s="48">
        <v>40.537547948875662</v>
      </c>
      <c r="F11" s="10">
        <f t="shared" si="4"/>
        <v>225</v>
      </c>
      <c r="G11" s="59">
        <f t="shared" si="0"/>
        <v>-0.2683674785210961</v>
      </c>
      <c r="H11" s="59">
        <f t="shared" si="1"/>
        <v>-0.24542496238888126</v>
      </c>
      <c r="I11" s="59">
        <f t="shared" si="2"/>
        <v>-0.26604036442147572</v>
      </c>
      <c r="J11" s="59">
        <f t="shared" si="3"/>
        <v>-0.2697354685970848</v>
      </c>
      <c r="K11" s="7" t="s">
        <v>20</v>
      </c>
      <c r="L11" s="32">
        <f>INDEX(LINEST(H4:H27,A4:A27^{1,2}),1)</f>
        <v>-0.52366420169973649</v>
      </c>
      <c r="AA11" s="19" t="s">
        <v>13</v>
      </c>
      <c r="AB11" s="20">
        <v>1</v>
      </c>
      <c r="AC11" s="35">
        <v>2</v>
      </c>
      <c r="AD11" s="25">
        <v>2</v>
      </c>
      <c r="AE11" s="25">
        <f t="shared" si="5"/>
        <v>280</v>
      </c>
    </row>
    <row r="12" spans="1:31" ht="15.75" thickBot="1" x14ac:dyDescent="0.3">
      <c r="A12" s="59">
        <v>0.8</v>
      </c>
      <c r="B12" s="48">
        <v>38.738889585937216</v>
      </c>
      <c r="C12" s="48">
        <v>41.249131967745541</v>
      </c>
      <c r="D12" s="48">
        <v>59.891895949840269</v>
      </c>
      <c r="E12" s="48">
        <v>42.568740458879041</v>
      </c>
      <c r="F12" s="10">
        <f t="shared" si="4"/>
        <v>240</v>
      </c>
      <c r="G12" s="59">
        <f t="shared" si="0"/>
        <v>-0.21841222699726223</v>
      </c>
      <c r="H12" s="59">
        <f t="shared" si="1"/>
        <v>-0.19716167366392753</v>
      </c>
      <c r="I12" s="59">
        <f t="shared" si="2"/>
        <v>-0.22191897646833181</v>
      </c>
      <c r="J12" s="59">
        <f t="shared" si="3"/>
        <v>-0.22158407308881034</v>
      </c>
      <c r="K12" s="13" t="s">
        <v>19</v>
      </c>
      <c r="L12" s="32">
        <f>INDEX(LINEST(H4:H27,A4:A27^{1,2}),1,2)</f>
        <v>2.0463452007491432</v>
      </c>
      <c r="AA12" s="36" t="s">
        <v>14</v>
      </c>
      <c r="AB12" s="20">
        <v>1</v>
      </c>
      <c r="AC12" s="35">
        <v>8</v>
      </c>
      <c r="AD12" s="25">
        <v>8</v>
      </c>
      <c r="AE12" s="25">
        <f t="shared" si="5"/>
        <v>282</v>
      </c>
    </row>
    <row r="13" spans="1:31" ht="15.75" thickBot="1" x14ac:dyDescent="0.3">
      <c r="A13" s="59">
        <v>0.85</v>
      </c>
      <c r="B13" s="48">
        <v>40.801351777072107</v>
      </c>
      <c r="C13" s="48">
        <v>43.304205071292479</v>
      </c>
      <c r="D13" s="48">
        <v>62.602552138585573</v>
      </c>
      <c r="E13" s="48">
        <v>44.720391666944082</v>
      </c>
      <c r="F13" s="10">
        <f t="shared" si="4"/>
        <v>255</v>
      </c>
      <c r="G13" s="59">
        <f t="shared" si="0"/>
        <v>-0.16702560112314777</v>
      </c>
      <c r="H13" s="59">
        <f t="shared" si="1"/>
        <v>-0.14890835945557995</v>
      </c>
      <c r="I13" s="59">
        <f t="shared" si="2"/>
        <v>-0.17809866307547947</v>
      </c>
      <c r="J13" s="59">
        <f t="shared" si="3"/>
        <v>-0.17275646280778481</v>
      </c>
      <c r="K13" s="14" t="s">
        <v>18</v>
      </c>
      <c r="L13" s="32">
        <f>INDEX(LINEST(H4:H27,A4:A27^{1,2}),1,3)</f>
        <v>-1.5330050998111706</v>
      </c>
      <c r="AA13" s="2" t="s">
        <v>12</v>
      </c>
      <c r="AB13" s="20">
        <v>1</v>
      </c>
      <c r="AC13" s="35">
        <v>10</v>
      </c>
      <c r="AD13" s="25">
        <v>10</v>
      </c>
      <c r="AE13" s="25">
        <f t="shared" si="5"/>
        <v>290</v>
      </c>
    </row>
    <row r="14" spans="1:31" x14ac:dyDescent="0.25">
      <c r="A14" s="59">
        <v>0.9</v>
      </c>
      <c r="B14" s="48">
        <v>43.489326451480224</v>
      </c>
      <c r="C14" s="48">
        <v>45.802071740540583</v>
      </c>
      <c r="D14" s="48">
        <v>67.366891786383846</v>
      </c>
      <c r="E14" s="48">
        <v>47.872648703516511</v>
      </c>
      <c r="F14" s="10">
        <f t="shared" si="4"/>
        <v>270</v>
      </c>
      <c r="G14" s="59">
        <f t="shared" si="0"/>
        <v>-0.10352260557860384</v>
      </c>
      <c r="H14" s="59">
        <f t="shared" si="1"/>
        <v>-9.3037654397657682E-2</v>
      </c>
      <c r="I14" s="59">
        <f t="shared" si="2"/>
        <v>-0.10512706553832027</v>
      </c>
      <c r="J14" s="59">
        <f t="shared" si="3"/>
        <v>-0.10497674297254202</v>
      </c>
    </row>
    <row r="15" spans="1:31" x14ac:dyDescent="0.25">
      <c r="A15" s="59">
        <v>0.95</v>
      </c>
      <c r="B15" s="48">
        <v>46.324162304457055</v>
      </c>
      <c r="C15" s="48">
        <v>48.431935738939508</v>
      </c>
      <c r="D15" s="48">
        <v>72.218526791079796</v>
      </c>
      <c r="E15" s="48">
        <v>51.145364438150629</v>
      </c>
      <c r="F15" s="10">
        <f t="shared" si="4"/>
        <v>285</v>
      </c>
      <c r="G15" s="59">
        <f t="shared" si="0"/>
        <v>-4.0461536812460008E-2</v>
      </c>
      <c r="H15" s="59">
        <f t="shared" si="1"/>
        <v>-3.7270436812189403E-2</v>
      </c>
      <c r="I15" s="59">
        <f t="shared" si="2"/>
        <v>-3.5677321355321541E-2</v>
      </c>
      <c r="J15" s="59">
        <f t="shared" si="3"/>
        <v>-3.8940856974476946E-2</v>
      </c>
    </row>
    <row r="16" spans="1:31" ht="15.75" thickBot="1" x14ac:dyDescent="0.3">
      <c r="A16" s="59">
        <v>1</v>
      </c>
      <c r="B16" s="48">
        <v>48.237211559269028</v>
      </c>
      <c r="C16" s="48">
        <v>50.27129194420133</v>
      </c>
      <c r="D16" s="48">
        <v>74.841887622927445</v>
      </c>
      <c r="E16" s="48">
        <v>53.176556948153987</v>
      </c>
      <c r="F16" s="10">
        <f t="shared" si="4"/>
        <v>300</v>
      </c>
      <c r="G16" s="59">
        <f t="shared" si="0"/>
        <v>0</v>
      </c>
      <c r="H16" s="59">
        <f t="shared" si="1"/>
        <v>0</v>
      </c>
      <c r="I16" s="59">
        <f t="shared" si="2"/>
        <v>0</v>
      </c>
      <c r="J16" s="59">
        <f t="shared" si="3"/>
        <v>0</v>
      </c>
      <c r="K16" s="12" t="s">
        <v>45</v>
      </c>
    </row>
    <row r="17" spans="1:12" ht="15.75" thickBot="1" x14ac:dyDescent="0.3">
      <c r="A17" s="59">
        <v>1.05</v>
      </c>
      <c r="B17" s="48">
        <v>49.932406578462952</v>
      </c>
      <c r="C17" s="48">
        <v>51.956000649398071</v>
      </c>
      <c r="D17" s="48">
        <v>77.46524845477505</v>
      </c>
      <c r="E17" s="48">
        <v>55.207749458157345</v>
      </c>
      <c r="F17" s="10">
        <f t="shared" si="4"/>
        <v>315</v>
      </c>
      <c r="G17" s="59">
        <f t="shared" si="0"/>
        <v>3.4536041829470412E-2</v>
      </c>
      <c r="H17" s="59">
        <f t="shared" si="1"/>
        <v>3.2960057191267586E-2</v>
      </c>
      <c r="I17" s="59">
        <f t="shared" si="2"/>
        <v>3.44482983451182E-2</v>
      </c>
      <c r="J17" s="59">
        <f t="shared" si="3"/>
        <v>3.7481302918317687E-2</v>
      </c>
      <c r="K17" s="7" t="s">
        <v>20</v>
      </c>
      <c r="L17" s="32">
        <f>INDEX(LINEST(J4:J27,A4:A27^{1,2}),1)</f>
        <v>-0.52135948600966053</v>
      </c>
    </row>
    <row r="18" spans="1:12" ht="15.75" thickBot="1" x14ac:dyDescent="0.3">
      <c r="A18" s="59">
        <v>1.1000000000000001</v>
      </c>
      <c r="B18" s="48">
        <v>52.199121862192179</v>
      </c>
      <c r="C18" s="48">
        <v>54.162846294133196</v>
      </c>
      <c r="D18" s="48">
        <v>82.316883459470873</v>
      </c>
      <c r="E18" s="48">
        <v>58.48046519279147</v>
      </c>
      <c r="F18" s="10">
        <f t="shared" si="4"/>
        <v>330</v>
      </c>
      <c r="G18" s="59">
        <f t="shared" si="0"/>
        <v>7.8893965320254736E-2</v>
      </c>
      <c r="H18" s="59">
        <f t="shared" si="1"/>
        <v>7.4526479857587355E-2</v>
      </c>
      <c r="I18" s="59">
        <f t="shared" si="2"/>
        <v>9.5126677118444622E-2</v>
      </c>
      <c r="J18" s="59">
        <f t="shared" si="3"/>
        <v>9.5003576898949033E-2</v>
      </c>
      <c r="K18" s="13" t="s">
        <v>19</v>
      </c>
      <c r="L18" s="32">
        <f>INDEX(LINEST(J4:J27,A4:A27^{1,2}),1,2)</f>
        <v>2.1630838408266411</v>
      </c>
    </row>
    <row r="19" spans="1:12" ht="15.75" thickBot="1" x14ac:dyDescent="0.3">
      <c r="A19" s="59">
        <v>1.1499999999999999</v>
      </c>
      <c r="B19" s="48">
        <v>54.130559165600047</v>
      </c>
      <c r="C19" s="48">
        <v>56.085924594706235</v>
      </c>
      <c r="D19" s="48">
        <v>86.56325132286652</v>
      </c>
      <c r="E19" s="48">
        <v>61.30400955924793</v>
      </c>
      <c r="F19" s="10">
        <f t="shared" si="4"/>
        <v>345</v>
      </c>
      <c r="G19" s="59">
        <f t="shared" si="0"/>
        <v>0.1151406847018365</v>
      </c>
      <c r="H19" s="59">
        <f t="shared" si="1"/>
        <v>0.10934157248046816</v>
      </c>
      <c r="I19" s="59">
        <f t="shared" si="2"/>
        <v>0.14524151803959054</v>
      </c>
      <c r="J19" s="59">
        <f t="shared" si="3"/>
        <v>0.14198833669413141</v>
      </c>
      <c r="K19" s="14" t="s">
        <v>18</v>
      </c>
      <c r="L19" s="32">
        <f>INDEX(LINEST(J4:J27,A4:A27^{1,2}),1,3)</f>
        <v>-1.6439656777006924</v>
      </c>
    </row>
    <row r="20" spans="1:12" x14ac:dyDescent="0.25">
      <c r="A20" s="59">
        <v>1.2</v>
      </c>
      <c r="B20" s="48">
        <v>55.840361569603836</v>
      </c>
      <c r="C20" s="48">
        <v>57.866307343973787</v>
      </c>
      <c r="D20" s="48">
        <v>89.791879296014201</v>
      </c>
      <c r="E20" s="48">
        <v>63.784373437429025</v>
      </c>
      <c r="F20" s="10">
        <f t="shared" si="4"/>
        <v>360</v>
      </c>
      <c r="G20" s="59">
        <f t="shared" si="0"/>
        <v>0.1461054438869418</v>
      </c>
      <c r="H20" s="59">
        <f t="shared" si="1"/>
        <v>0.14046946575043809</v>
      </c>
      <c r="I20" s="59">
        <f t="shared" si="2"/>
        <v>0.1816151322158287</v>
      </c>
      <c r="J20" s="59">
        <f t="shared" ref="J20:J27" si="6">2*(E20-E$16)/(E$16+E20)</f>
        <v>0.18139076791377151</v>
      </c>
      <c r="K20" s="30"/>
    </row>
    <row r="21" spans="1:12" x14ac:dyDescent="0.25">
      <c r="A21" s="59">
        <v>1.25</v>
      </c>
      <c r="B21" s="48">
        <v>57.235934682139209</v>
      </c>
      <c r="C21" s="48">
        <v>59.341749485649821</v>
      </c>
      <c r="D21" s="48">
        <v>92.415240127861821</v>
      </c>
      <c r="E21" s="48">
        <v>65.815565947432376</v>
      </c>
      <c r="F21" s="10">
        <f t="shared" si="4"/>
        <v>375</v>
      </c>
      <c r="G21" s="59">
        <f t="shared" si="0"/>
        <v>0.17063534072025865</v>
      </c>
      <c r="H21" s="59">
        <f t="shared" si="1"/>
        <v>0.16549960521355106</v>
      </c>
      <c r="I21" s="59">
        <f t="shared" si="2"/>
        <v>0.21013576809854612</v>
      </c>
      <c r="J21" s="59">
        <f t="shared" si="6"/>
        <v>0.21243438122990566</v>
      </c>
      <c r="K21" s="30"/>
    </row>
    <row r="22" spans="1:12" x14ac:dyDescent="0.25">
      <c r="A22" s="59">
        <v>1.3</v>
      </c>
      <c r="B22" s="48">
        <v>59.450908707100304</v>
      </c>
      <c r="C22" s="48">
        <v>61.544982232878425</v>
      </c>
      <c r="D22" s="48">
        <v>97.252619455001266</v>
      </c>
      <c r="E22" s="48">
        <v>69.058738862022238</v>
      </c>
      <c r="F22" s="10">
        <f t="shared" si="4"/>
        <v>390</v>
      </c>
      <c r="G22" s="59">
        <f t="shared" si="0"/>
        <v>0.2082624735225001</v>
      </c>
      <c r="H22" s="59">
        <f t="shared" si="1"/>
        <v>0.20164668106940004</v>
      </c>
      <c r="I22" s="59">
        <f t="shared" si="2"/>
        <v>0.26044679998909764</v>
      </c>
      <c r="J22" s="59">
        <f t="shared" si="6"/>
        <v>0.25986245312536055</v>
      </c>
      <c r="K22" s="30"/>
    </row>
    <row r="23" spans="1:12" x14ac:dyDescent="0.25">
      <c r="A23" s="59">
        <v>1.35</v>
      </c>
      <c r="B23" s="48">
        <v>61.686653141763891</v>
      </c>
      <c r="C23" s="48">
        <v>63.756034926974642</v>
      </c>
      <c r="D23" s="48">
        <v>102.1042544596971</v>
      </c>
      <c r="E23" s="48">
        <v>72.331454596656357</v>
      </c>
      <c r="F23" s="10">
        <f t="shared" si="4"/>
        <v>405</v>
      </c>
      <c r="G23" s="59">
        <f t="shared" si="0"/>
        <v>0.244704671166251</v>
      </c>
      <c r="H23" s="59">
        <f t="shared" si="1"/>
        <v>0.23651774276893989</v>
      </c>
      <c r="I23" s="59">
        <f t="shared" si="2"/>
        <v>0.30814310519456894</v>
      </c>
      <c r="J23" s="59">
        <f t="shared" si="6"/>
        <v>0.30523784757220002</v>
      </c>
      <c r="K23" s="30"/>
    </row>
    <row r="24" spans="1:12" x14ac:dyDescent="0.25">
      <c r="A24" s="59">
        <v>1.4</v>
      </c>
      <c r="B24" s="48">
        <v>63.076454032727661</v>
      </c>
      <c r="C24" s="48">
        <v>65.230673258518991</v>
      </c>
      <c r="D24" s="48">
        <v>104.72761529154479</v>
      </c>
      <c r="E24" s="48">
        <v>74.362647106659779</v>
      </c>
      <c r="F24" s="10">
        <f t="shared" si="4"/>
        <v>420</v>
      </c>
      <c r="G24" s="59">
        <f t="shared" si="0"/>
        <v>0.26662031826082561</v>
      </c>
      <c r="H24" s="59">
        <f t="shared" si="1"/>
        <v>0.25903249850445548</v>
      </c>
      <c r="I24" s="59">
        <f t="shared" si="2"/>
        <v>0.33285972488158772</v>
      </c>
      <c r="J24" s="59">
        <f t="shared" si="6"/>
        <v>0.33222867141934553</v>
      </c>
      <c r="K24" s="30"/>
    </row>
    <row r="25" spans="1:12" x14ac:dyDescent="0.25">
      <c r="A25" s="59">
        <v>1.45</v>
      </c>
      <c r="B25" s="48">
        <v>64.572671935313835</v>
      </c>
      <c r="C25" s="48">
        <v>66.930009347585084</v>
      </c>
      <c r="D25" s="48">
        <v>107.43827148028994</v>
      </c>
      <c r="E25" s="48">
        <v>76.514298314724783</v>
      </c>
      <c r="F25" s="10">
        <f t="shared" si="4"/>
        <v>435</v>
      </c>
      <c r="G25" s="59">
        <f t="shared" si="0"/>
        <v>0.28961044670929453</v>
      </c>
      <c r="H25" s="59">
        <f t="shared" si="1"/>
        <v>0.28427529762506509</v>
      </c>
      <c r="I25" s="59">
        <f t="shared" si="2"/>
        <v>0.3576514747159571</v>
      </c>
      <c r="J25" s="59">
        <f t="shared" si="6"/>
        <v>0.35989802548939975</v>
      </c>
      <c r="K25" s="30"/>
    </row>
    <row r="26" spans="1:12" x14ac:dyDescent="0.25">
      <c r="A26" s="59">
        <v>1.5</v>
      </c>
      <c r="B26" s="48">
        <v>66.689665726727839</v>
      </c>
      <c r="C26" s="48">
        <v>69.200605728159758</v>
      </c>
      <c r="D26" s="48">
        <v>112.20261112808825</v>
      </c>
      <c r="E26" s="48">
        <v>79.666555351297234</v>
      </c>
      <c r="F26" s="10">
        <f t="shared" si="4"/>
        <v>450</v>
      </c>
      <c r="G26" s="59">
        <f t="shared" si="0"/>
        <v>0.32111642817092584</v>
      </c>
      <c r="H26" s="59">
        <f t="shared" si="1"/>
        <v>0.31688311900544258</v>
      </c>
      <c r="I26" s="59">
        <f t="shared" si="2"/>
        <v>0.3994848686236267</v>
      </c>
      <c r="J26" s="59">
        <f t="shared" si="6"/>
        <v>0.39881628704136707</v>
      </c>
      <c r="K26" s="30"/>
    </row>
    <row r="27" spans="1:12" x14ac:dyDescent="0.25">
      <c r="A27" s="59">
        <v>2</v>
      </c>
      <c r="B27" s="48">
        <v>84.711933649867916</v>
      </c>
      <c r="C27" s="48">
        <v>89.523442764748253</v>
      </c>
      <c r="D27" s="48">
        <v>149.56333463324972</v>
      </c>
      <c r="E27" s="48">
        <v>106.15655375444031</v>
      </c>
      <c r="F27" s="10">
        <f t="shared" si="4"/>
        <v>600</v>
      </c>
      <c r="G27" s="59">
        <f t="shared" si="0"/>
        <v>0.54870186691643597</v>
      </c>
      <c r="H27" s="59">
        <f t="shared" si="1"/>
        <v>0.56156837240357127</v>
      </c>
      <c r="I27" s="59">
        <f t="shared" si="2"/>
        <v>0.66595105282373102</v>
      </c>
      <c r="J27" s="59">
        <f t="shared" si="6"/>
        <v>0.66502180962470459</v>
      </c>
      <c r="K27" s="30"/>
    </row>
  </sheetData>
  <pageMargins left="0.7" right="0.7" top="0.75" bottom="0.75" header="0.3" footer="0.3"/>
  <pageSetup paperSize="9"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7">
    <tabColor theme="4" tint="-0.249977111117893"/>
  </sheetPr>
  <dimension ref="A1:N13"/>
  <sheetViews>
    <sheetView zoomScaleNormal="100" workbookViewId="0">
      <selection activeCell="A3" sqref="A3"/>
    </sheetView>
  </sheetViews>
  <sheetFormatPr defaultColWidth="9.140625" defaultRowHeight="15" x14ac:dyDescent="0.25"/>
  <cols>
    <col min="1" max="1" width="42.85546875" style="10" customWidth="1"/>
    <col min="2" max="5" width="16.7109375" style="10" customWidth="1"/>
    <col min="6" max="6" width="21.140625" style="10" bestFit="1" customWidth="1"/>
    <col min="7" max="7" width="9.140625" style="10"/>
    <col min="8" max="8" width="39.28515625" style="10" customWidth="1"/>
    <col min="9" max="9" width="16" style="10" bestFit="1" customWidth="1"/>
    <col min="10" max="10" width="24.85546875" style="10" bestFit="1" customWidth="1"/>
    <col min="11" max="11" width="11.7109375" style="10" bestFit="1" customWidth="1"/>
    <col min="12" max="12" width="20.140625" style="10" bestFit="1" customWidth="1"/>
    <col min="13" max="16384" width="9.140625" style="10"/>
  </cols>
  <sheetData>
    <row r="1" spans="1:14" ht="21" x14ac:dyDescent="0.25">
      <c r="A1" s="3" t="s">
        <v>21</v>
      </c>
      <c r="B1" s="16"/>
      <c r="N1"/>
    </row>
    <row r="2" spans="1:14" x14ac:dyDescent="0.25">
      <c r="N2"/>
    </row>
    <row r="3" spans="1:14" x14ac:dyDescent="0.25">
      <c r="A3" s="56" t="s">
        <v>15</v>
      </c>
      <c r="B3" s="56" t="s">
        <v>6</v>
      </c>
      <c r="C3" s="56" t="s">
        <v>46</v>
      </c>
      <c r="D3" s="56" t="s">
        <v>44</v>
      </c>
      <c r="E3" s="56" t="s">
        <v>45</v>
      </c>
      <c r="H3" s="56" t="s">
        <v>24</v>
      </c>
      <c r="I3" s="56" t="s">
        <v>7</v>
      </c>
      <c r="J3" s="56" t="s">
        <v>22</v>
      </c>
      <c r="K3" s="56" t="s">
        <v>26</v>
      </c>
      <c r="L3" s="56" t="s">
        <v>43</v>
      </c>
      <c r="N3"/>
    </row>
    <row r="4" spans="1:14" x14ac:dyDescent="0.25">
      <c r="A4" s="49" t="s">
        <v>8</v>
      </c>
      <c r="B4" s="57">
        <v>15.738406011210575</v>
      </c>
      <c r="C4" s="57">
        <v>18.461129894665845</v>
      </c>
      <c r="D4" s="57">
        <v>8.5176120889088995</v>
      </c>
      <c r="E4" s="57">
        <v>6.1839071065578386</v>
      </c>
      <c r="H4" s="49" t="s">
        <v>8</v>
      </c>
      <c r="I4" s="58">
        <v>1</v>
      </c>
      <c r="J4" s="49">
        <v>70</v>
      </c>
      <c r="K4" s="58">
        <v>70</v>
      </c>
      <c r="L4" s="49">
        <f>0</f>
        <v>0</v>
      </c>
    </row>
    <row r="5" spans="1:14" x14ac:dyDescent="0.25">
      <c r="A5" s="49" t="s">
        <v>10</v>
      </c>
      <c r="B5" s="57">
        <v>32.718157474804464</v>
      </c>
      <c r="C5" s="57">
        <v>31.067603502256009</v>
      </c>
      <c r="D5" s="57">
        <v>18.667549155932285</v>
      </c>
      <c r="E5" s="57">
        <v>21.895709002604811</v>
      </c>
      <c r="H5" s="49" t="s">
        <v>8</v>
      </c>
      <c r="I5" s="58">
        <v>16</v>
      </c>
      <c r="J5" s="49">
        <v>50</v>
      </c>
      <c r="K5" s="58">
        <v>50</v>
      </c>
      <c r="L5" s="49">
        <f>L4+K4</f>
        <v>70</v>
      </c>
    </row>
    <row r="6" spans="1:14" x14ac:dyDescent="0.25">
      <c r="A6" s="49" t="s">
        <v>11</v>
      </c>
      <c r="B6" s="57">
        <v>40.413935400156788</v>
      </c>
      <c r="C6" s="57">
        <v>38.190526646286997</v>
      </c>
      <c r="D6" s="57">
        <v>24.26936508698363</v>
      </c>
      <c r="E6" s="57">
        <v>31.025516037054757</v>
      </c>
      <c r="H6" s="49" t="s">
        <v>8</v>
      </c>
      <c r="I6" s="58">
        <v>10</v>
      </c>
      <c r="J6" s="49">
        <v>70</v>
      </c>
      <c r="K6" s="58">
        <v>70</v>
      </c>
      <c r="L6" s="49">
        <f t="shared" ref="L6:L13" si="0">L5+K5</f>
        <v>120</v>
      </c>
    </row>
    <row r="7" spans="1:14" x14ac:dyDescent="0.25">
      <c r="A7" s="49" t="s">
        <v>9</v>
      </c>
      <c r="B7" s="57">
        <v>69.220971335614649</v>
      </c>
      <c r="C7" s="57">
        <v>55.619229014175119</v>
      </c>
      <c r="D7" s="57">
        <v>41.433200865031068</v>
      </c>
      <c r="E7" s="57">
        <v>66.595071370352599</v>
      </c>
      <c r="H7" s="49" t="s">
        <v>8</v>
      </c>
      <c r="I7" s="58">
        <v>40</v>
      </c>
      <c r="J7" s="49">
        <v>10</v>
      </c>
      <c r="K7" s="58">
        <v>10</v>
      </c>
      <c r="L7" s="49">
        <f t="shared" si="0"/>
        <v>190</v>
      </c>
    </row>
    <row r="8" spans="1:14" x14ac:dyDescent="0.25">
      <c r="A8" s="49" t="s">
        <v>13</v>
      </c>
      <c r="B8" s="57">
        <v>37.326908386881115</v>
      </c>
      <c r="C8" s="57">
        <v>35.26013925981183</v>
      </c>
      <c r="D8" s="57">
        <v>21.984943481678425</v>
      </c>
      <c r="E8" s="57">
        <v>27.365679283237267</v>
      </c>
      <c r="H8" s="49" t="s">
        <v>10</v>
      </c>
      <c r="I8" s="58">
        <v>1</v>
      </c>
      <c r="J8" s="49">
        <v>40</v>
      </c>
      <c r="K8" s="58">
        <v>40</v>
      </c>
      <c r="L8" s="49">
        <f t="shared" si="0"/>
        <v>200</v>
      </c>
    </row>
    <row r="9" spans="1:14" x14ac:dyDescent="0.25">
      <c r="A9" s="49" t="s">
        <v>14</v>
      </c>
      <c r="B9" s="57">
        <v>44.57491046085071</v>
      </c>
      <c r="C9" s="57">
        <v>39.61731485178386</v>
      </c>
      <c r="D9" s="57">
        <v>26.275902426190285</v>
      </c>
      <c r="E9" s="57">
        <v>36.258068116561731</v>
      </c>
      <c r="H9" s="49" t="s">
        <v>11</v>
      </c>
      <c r="I9" s="58">
        <v>1</v>
      </c>
      <c r="J9" s="49">
        <v>20</v>
      </c>
      <c r="K9" s="58">
        <v>20</v>
      </c>
      <c r="L9" s="49">
        <f t="shared" si="0"/>
        <v>240</v>
      </c>
    </row>
    <row r="10" spans="1:14" x14ac:dyDescent="0.25">
      <c r="A10" s="49" t="s">
        <v>12</v>
      </c>
      <c r="B10" s="57">
        <v>62.909069725800933</v>
      </c>
      <c r="C10" s="57">
        <v>48.420786885090195</v>
      </c>
      <c r="D10" s="57">
        <v>36.252624394035529</v>
      </c>
      <c r="E10" s="57">
        <v>59.164602702192404</v>
      </c>
      <c r="H10" s="49" t="s">
        <v>9</v>
      </c>
      <c r="I10" s="58">
        <v>1</v>
      </c>
      <c r="J10" s="49">
        <v>20</v>
      </c>
      <c r="K10" s="58">
        <v>20</v>
      </c>
      <c r="L10" s="49">
        <f t="shared" si="0"/>
        <v>260</v>
      </c>
    </row>
    <row r="11" spans="1:14" x14ac:dyDescent="0.25">
      <c r="H11" s="49" t="s">
        <v>13</v>
      </c>
      <c r="I11" s="58">
        <v>1</v>
      </c>
      <c r="J11" s="49">
        <v>2</v>
      </c>
      <c r="K11" s="58">
        <v>2</v>
      </c>
      <c r="L11" s="49">
        <f t="shared" si="0"/>
        <v>280</v>
      </c>
    </row>
    <row r="12" spans="1:14" x14ac:dyDescent="0.25">
      <c r="H12" s="49" t="s">
        <v>14</v>
      </c>
      <c r="I12" s="58">
        <v>1</v>
      </c>
      <c r="J12" s="49">
        <v>8</v>
      </c>
      <c r="K12" s="58">
        <v>8</v>
      </c>
      <c r="L12" s="49">
        <f t="shared" si="0"/>
        <v>282</v>
      </c>
    </row>
    <row r="13" spans="1:14" x14ac:dyDescent="0.25">
      <c r="H13" s="49" t="s">
        <v>12</v>
      </c>
      <c r="I13" s="58">
        <v>1</v>
      </c>
      <c r="J13" s="49">
        <v>10</v>
      </c>
      <c r="K13" s="58">
        <v>10</v>
      </c>
      <c r="L13" s="49">
        <f t="shared" si="0"/>
        <v>290</v>
      </c>
    </row>
  </sheetData>
  <pageMargins left="0.7" right="0.7" top="0.75" bottom="0.75" header="0.3" footer="0.3"/>
  <pageSetup paperSize="9" orientation="portrait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4573B5-90B6-4893-8430-2CAEB1F44D09}">
  <sheetPr codeName="Sheet14">
    <tabColor rgb="FF002060"/>
  </sheetPr>
  <dimension ref="A1:F13"/>
  <sheetViews>
    <sheetView workbookViewId="0">
      <selection activeCell="A4" sqref="A4"/>
    </sheetView>
  </sheetViews>
  <sheetFormatPr defaultRowHeight="15" x14ac:dyDescent="0.25"/>
  <cols>
    <col min="1" max="1" width="36.28515625" bestFit="1" customWidth="1"/>
    <col min="2" max="2" width="16.5703125" bestFit="1" customWidth="1"/>
    <col min="3" max="3" width="15.5703125" bestFit="1" customWidth="1"/>
    <col min="4" max="4" width="24.7109375" bestFit="1" customWidth="1"/>
    <col min="5" max="5" width="14.5703125" bestFit="1" customWidth="1"/>
    <col min="6" max="6" width="24" customWidth="1"/>
  </cols>
  <sheetData>
    <row r="1" spans="1:6" x14ac:dyDescent="0.25">
      <c r="A1" s="51" t="s">
        <v>54</v>
      </c>
    </row>
    <row r="2" spans="1:6" x14ac:dyDescent="0.25">
      <c r="A2" s="47" t="s">
        <v>53</v>
      </c>
      <c r="B2" s="48" t="s">
        <v>49</v>
      </c>
      <c r="C2" s="48" t="s">
        <v>50</v>
      </c>
      <c r="D2" s="48" t="s">
        <v>69</v>
      </c>
      <c r="E2" s="48" t="s">
        <v>70</v>
      </c>
      <c r="F2" s="48" t="s">
        <v>51</v>
      </c>
    </row>
    <row r="3" spans="1:6" x14ac:dyDescent="0.25">
      <c r="A3" s="49" t="s">
        <v>55</v>
      </c>
      <c r="B3" s="50">
        <v>9.4137805841346012E-2</v>
      </c>
      <c r="C3" s="50">
        <v>2.8746013685526872E-2</v>
      </c>
      <c r="D3" s="50">
        <v>0.13188706581222576</v>
      </c>
      <c r="E3" s="50">
        <v>0.11508684778619593</v>
      </c>
      <c r="F3" s="50">
        <v>0.14822226687349338</v>
      </c>
    </row>
    <row r="4" spans="1:6" x14ac:dyDescent="0.25">
      <c r="A4" s="49" t="s">
        <v>56</v>
      </c>
      <c r="B4" s="50">
        <v>9.5784849738612454E-2</v>
      </c>
      <c r="C4" s="50">
        <v>2.7599704098439481E-2</v>
      </c>
      <c r="D4" s="50">
        <v>0.12454319138103709</v>
      </c>
      <c r="E4" s="50">
        <v>0.11213803194429839</v>
      </c>
      <c r="F4" s="50">
        <v>0.14524100089557601</v>
      </c>
    </row>
    <row r="5" spans="1:6" x14ac:dyDescent="0.25">
      <c r="A5" s="49" t="s">
        <v>57</v>
      </c>
      <c r="B5" s="50">
        <v>8.771258944864968E-2</v>
      </c>
      <c r="C5" s="50">
        <v>8.771258944864968E-2</v>
      </c>
      <c r="D5" s="50">
        <v>8.4487908420082247E-2</v>
      </c>
      <c r="E5" s="50">
        <v>0.12069701202868899</v>
      </c>
      <c r="F5" s="50">
        <v>8.1971570170691566E-2</v>
      </c>
    </row>
    <row r="6" spans="1:6" x14ac:dyDescent="0.25">
      <c r="A6" s="49" t="s">
        <v>58</v>
      </c>
      <c r="B6" s="50">
        <v>4.2196366925017603E-2</v>
      </c>
      <c r="C6" s="50">
        <v>3.5575044671937617E-2</v>
      </c>
      <c r="D6" s="50">
        <v>8.5539916275590988E-2</v>
      </c>
      <c r="E6" s="50">
        <v>0</v>
      </c>
      <c r="F6" s="50">
        <v>4.7793344511408264E-2</v>
      </c>
    </row>
    <row r="7" spans="1:6" ht="15.75" thickBot="1" x14ac:dyDescent="0.3"/>
    <row r="8" spans="1:6" x14ac:dyDescent="0.25">
      <c r="A8" s="51" t="s">
        <v>52</v>
      </c>
    </row>
    <row r="9" spans="1:6" x14ac:dyDescent="0.25">
      <c r="A9" s="47"/>
      <c r="B9" s="48" t="s">
        <v>49</v>
      </c>
      <c r="C9" s="48" t="s">
        <v>50</v>
      </c>
      <c r="D9" s="48" t="s">
        <v>69</v>
      </c>
      <c r="E9" s="48" t="s">
        <v>70</v>
      </c>
      <c r="F9" s="48" t="s">
        <v>51</v>
      </c>
    </row>
    <row r="10" spans="1:6" x14ac:dyDescent="0.25">
      <c r="A10" s="49" t="s">
        <v>59</v>
      </c>
      <c r="B10" s="50">
        <v>0.18902471863756198</v>
      </c>
      <c r="C10" s="50">
        <v>3.0694001583116304E-2</v>
      </c>
      <c r="D10" s="50">
        <v>3.4560928113058553E-2</v>
      </c>
      <c r="E10" s="50">
        <v>3.9186442231809115E-2</v>
      </c>
      <c r="F10" s="50">
        <v>0.23261871091092146</v>
      </c>
    </row>
    <row r="11" spans="1:6" x14ac:dyDescent="0.25">
      <c r="A11" s="49" t="s">
        <v>60</v>
      </c>
      <c r="B11" s="50">
        <v>0.16219033976452391</v>
      </c>
      <c r="C11" s="50">
        <v>4.2537471810248251E-2</v>
      </c>
      <c r="D11" s="50">
        <v>3.1987040730365734E-2</v>
      </c>
      <c r="E11" s="50">
        <v>4.2887837175118682E-2</v>
      </c>
      <c r="F11" s="50">
        <v>0.18959403219689852</v>
      </c>
    </row>
    <row r="12" spans="1:6" x14ac:dyDescent="0.25">
      <c r="A12" s="49" t="s">
        <v>61</v>
      </c>
      <c r="B12" s="50">
        <v>8.8764626714183947E-2</v>
      </c>
      <c r="C12" s="50">
        <v>8.8764626714183947E-2</v>
      </c>
      <c r="D12" s="50">
        <v>6.8043956140881656E-2</v>
      </c>
      <c r="E12" s="50">
        <v>9.7205651629830969E-2</v>
      </c>
      <c r="F12" s="50">
        <v>8.8764533367779119E-2</v>
      </c>
    </row>
    <row r="13" spans="1:6" x14ac:dyDescent="0.25">
      <c r="A13" s="49" t="s">
        <v>62</v>
      </c>
      <c r="B13" s="50">
        <v>5.344485198516602E-2</v>
      </c>
      <c r="C13" s="50">
        <v>4.5380327536111542E-2</v>
      </c>
      <c r="D13" s="50">
        <v>7.8518294324851468E-2</v>
      </c>
      <c r="E13" s="50">
        <v>0</v>
      </c>
      <c r="F13" s="50">
        <v>4.5737849421395804E-2</v>
      </c>
    </row>
  </sheetData>
  <pageMargins left="0.7" right="0.7" top="0.75" bottom="0.75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item1.xml>�� 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3C979362AB7464E88C05F1F08089D68" ma:contentTypeVersion="14" ma:contentTypeDescription="Create a new document." ma:contentTypeScope="" ma:versionID="20015d24df324c2d430453d22358b9ef">
  <xsd:schema xmlns:xsd="http://www.w3.org/2001/XMLSchema" xmlns:xs="http://www.w3.org/2001/XMLSchema" xmlns:p="http://schemas.microsoft.com/office/2006/metadata/properties" xmlns:ns2="22195db8-706f-4c5b-ae79-1a97c1aace84" xmlns:ns3="8dc708e8-d086-4e2a-be0c-c372e04fd741" targetNamespace="http://schemas.microsoft.com/office/2006/metadata/properties" ma:root="true" ma:fieldsID="0173e316b3f626237949b674250132b0" ns2:_="" ns3:_="">
    <xsd:import namespace="22195db8-706f-4c5b-ae79-1a97c1aace84"/>
    <xsd:import namespace="8dc708e8-d086-4e2a-be0c-c372e04fd741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DateTaken" minOccurs="0"/>
                <xsd:element ref="ns2:MediaServiceAutoKeyPoints" minOccurs="0"/>
                <xsd:element ref="ns2:MediaServiceKeyPoints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3:TaxCatchAll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2195db8-706f-4c5b-ae79-1a97c1aace84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KeyPoints" ma:index="11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2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OCR" ma:index="14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7306b285-ac2c-4225-b56d-e54690cf9c97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dc708e8-d086-4e2a-be0c-c372e04fd741" elementFormDefault="qualified">
    <xsd:import namespace="http://schemas.microsoft.com/office/2006/documentManagement/types"/>
    <xsd:import namespace="http://schemas.microsoft.com/office/infopath/2007/PartnerControls"/>
    <xsd:element name="SharedWithUsers" ma:index="17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8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1" nillable="true" ma:displayName="Taxonomy Catch All Column" ma:hidden="true" ma:list="{80c7efea-8d60-4ad9-a1d1-44fadb796693}" ma:internalName="TaxCatchAll" ma:showField="CatchAllData" ma:web="8dc708e8-d086-4e2a-be0c-c372e04fd741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4.xml>�� 
</file>

<file path=customXml/item5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22195db8-706f-4c5b-ae79-1a97c1aace84">
      <Terms xmlns="http://schemas.microsoft.com/office/infopath/2007/PartnerControls"/>
    </lcf76f155ced4ddcb4097134ff3c332f>
    <TaxCatchAll xmlns="8dc708e8-d086-4e2a-be0c-c372e04fd741" xsi:nil="true"/>
  </documentManagement>
</p:properties>
</file>

<file path=customXml/itemProps1.xml><?xml version="1.0" encoding="utf-8"?>
<ds:datastoreItem xmlns:ds="http://schemas.openxmlformats.org/officeDocument/2006/customXml" ds:itemID="{D72183D5-BA90-4F09-B8AF-77F320848A8C}">
  <ds:schemaRefs>
    <ds:schemaRef ds:uri="http://www.w3.org/2001/XMLSchema"/>
    <ds:schemaRef ds:uri="http://microsoft.data.visualization.engine.tours/1.0"/>
  </ds:schemaRefs>
</ds:datastoreItem>
</file>

<file path=customXml/itemProps2.xml><?xml version="1.0" encoding="utf-8"?>
<ds:datastoreItem xmlns:ds="http://schemas.openxmlformats.org/officeDocument/2006/customXml" ds:itemID="{5C6206F5-F190-4CC2-9287-4D278E524474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4638414A-22B0-4076-AC35-7C23DBFDBB59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22195db8-706f-4c5b-ae79-1a97c1aace84"/>
    <ds:schemaRef ds:uri="8dc708e8-d086-4e2a-be0c-c372e04fd741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4.xml><?xml version="1.0" encoding="utf-8"?>
<ds:datastoreItem xmlns:ds="http://schemas.openxmlformats.org/officeDocument/2006/customXml" ds:itemID="{84605061-ECB1-4C50-899C-D78C0EFEF9D1}">
  <ds:schemaRefs>
    <ds:schemaRef ds:uri="http://www.w3.org/2001/XMLSchema"/>
    <ds:schemaRef ds:uri="http://microsoft.data.visualization.Client.Excel/1.0"/>
  </ds:schemaRefs>
</ds:datastoreItem>
</file>

<file path=customXml/itemProps5.xml><?xml version="1.0" encoding="utf-8"?>
<ds:datastoreItem xmlns:ds="http://schemas.openxmlformats.org/officeDocument/2006/customXml" ds:itemID="{95AE104E-E894-4267-AF86-F8929B9CB2A7}">
  <ds:schemaRefs>
    <ds:schemaRef ds:uri="http://www.w3.org/XML/1998/namespace"/>
    <ds:schemaRef ds:uri="http://purl.org/dc/terms/"/>
    <ds:schemaRef ds:uri="http://schemas.microsoft.com/office/2006/documentManagement/types"/>
    <ds:schemaRef ds:uri="http://purl.org/dc/elements/1.1/"/>
    <ds:schemaRef ds:uri="http://schemas.microsoft.com/office/2006/metadata/properties"/>
    <ds:schemaRef ds:uri="22195db8-706f-4c5b-ae79-1a97c1aace84"/>
    <ds:schemaRef ds:uri="8dc708e8-d086-4e2a-be0c-c372e04fd741"/>
    <ds:schemaRef ds:uri="http://schemas.openxmlformats.org/package/2006/metadata/core-properties"/>
    <ds:schemaRef ds:uri="http://schemas.microsoft.com/office/infopath/2007/PartnerControls"/>
    <ds:schemaRef ds:uri="http://purl.org/dc/dcmitype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13</vt:i4>
      </vt:variant>
    </vt:vector>
  </HeadingPairs>
  <TitlesOfParts>
    <vt:vector size="13" baseType="lpstr">
      <vt:lpstr>BEP-ASHP_GB</vt:lpstr>
      <vt:lpstr>BEP-AN_ASHP</vt:lpstr>
      <vt:lpstr>BEP-AN_GB</vt:lpstr>
      <vt:lpstr>BEP-DH_AN</vt:lpstr>
      <vt:lpstr>BEP-DH_ASHP</vt:lpstr>
      <vt:lpstr>BEP-DH_GB</vt:lpstr>
      <vt:lpstr>BEP Summary</vt:lpstr>
      <vt:lpstr>AHD</vt:lpstr>
      <vt:lpstr>Density</vt:lpstr>
      <vt:lpstr>Connections</vt:lpstr>
      <vt:lpstr>Properties</vt:lpstr>
      <vt:lpstr>Class</vt:lpstr>
      <vt:lpstr>Sensitivity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ANGELIDIS Orestis</dc:creator>
  <cp:keywords/>
  <dc:description/>
  <cp:lastModifiedBy>Orestis Angelidis</cp:lastModifiedBy>
  <cp:revision/>
  <dcterms:created xsi:type="dcterms:W3CDTF">2006-09-16T00:00:00Z</dcterms:created>
  <dcterms:modified xsi:type="dcterms:W3CDTF">2022-12-09T16:58:23Z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0x01010073C979362AB7464E88C05F1F08089D68</vt:lpwstr>
  </property>
  <property fmtid="{D5CDD505-2E9C-101B-9397-08002B2CF9AE}" pid="3" name="MediaServiceImageTags">
    <vt:lpwstr/>
  </property>
</Properties>
</file>